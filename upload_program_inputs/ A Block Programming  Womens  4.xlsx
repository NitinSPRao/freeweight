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6 Week 1 (9_15-10_23)" sheetId="1" r:id="rId5"/>
    <sheet name="6 Week 2 (10_27-12_4)" sheetId="2" r:id="rId6"/>
    <sheet name="6 Week EOY_Xmas (12_8-1_21)" sheetId="3" r:id="rId7"/>
    <sheet name="Power Base + Build 4 Wk 1" sheetId="4" r:id="rId8"/>
    <sheet name="Power Base + Build 2A" sheetId="5" r:id="rId9"/>
    <sheet name="Power Base + Build 2b" sheetId="6" r:id="rId10"/>
    <sheet name="Interference 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<sst xmlns="http://schemas.openxmlformats.org/spreadsheetml/2006/main" uniqueCount="315">
  <si>
    <t xml:space="preserve">Week 1 </t>
  </si>
  <si>
    <t xml:space="preserve">Week 2 </t>
  </si>
  <si>
    <t xml:space="preserve">Week 3 </t>
  </si>
  <si>
    <t xml:space="preserve">Week 4 </t>
  </si>
  <si>
    <t xml:space="preserve">Week 5 </t>
  </si>
  <si>
    <t xml:space="preserve">Exercise </t>
  </si>
  <si>
    <t>Comments</t>
  </si>
  <si>
    <t>Link</t>
  </si>
  <si>
    <t xml:space="preserve">RM Calc </t>
  </si>
  <si>
    <t>Sets</t>
  </si>
  <si>
    <t>Reps/Time</t>
  </si>
  <si>
    <t>Min Load</t>
  </si>
  <si>
    <t xml:space="preserve">Max Load </t>
  </si>
  <si>
    <t xml:space="preserve">Day 1 </t>
  </si>
  <si>
    <t xml:space="preserve">Flexibility </t>
  </si>
  <si>
    <t xml:space="preserve">Est. Total Time: 15 min </t>
  </si>
  <si>
    <t xml:space="preserve">Quadruped Hip CAR </t>
  </si>
  <si>
    <t xml:space="preserve">Look for larger and larger circles </t>
  </si>
  <si>
    <r>
      <rPr>
        <b val="1"/>
        <u val="single"/>
        <sz val="10"/>
        <color indexed="17"/>
        <rFont val="Arial"/>
      </rPr>
      <t>Video</t>
    </r>
  </si>
  <si>
    <t>6 per direction, per side (SLOW)</t>
  </si>
  <si>
    <t xml:space="preserve">Quadruped Shoulder CAR </t>
  </si>
  <si>
    <r>
      <rPr>
        <b val="1"/>
        <u val="single"/>
        <sz val="10"/>
        <color indexed="17"/>
        <rFont val="Arial"/>
      </rPr>
      <t>video</t>
    </r>
  </si>
  <si>
    <t xml:space="preserve">Shoulder Capsular CAR </t>
  </si>
  <si>
    <t xml:space="preserve">Use a mirror </t>
  </si>
  <si>
    <t xml:space="preserve">6 repetitions </t>
  </si>
  <si>
    <t xml:space="preserve">90/90 Pail/Rail  </t>
  </si>
  <si>
    <t xml:space="preserve">Pause at the end of each rep for 1-2s </t>
  </si>
  <si>
    <r>
      <rPr>
        <b val="1"/>
        <u val="single"/>
        <sz val="10"/>
        <color indexed="17"/>
        <rFont val="Arial"/>
      </rPr>
      <t xml:space="preserve">External Rotation </t>
    </r>
    <r>
      <rPr>
        <b val="1"/>
        <u val="single"/>
        <sz val="10"/>
        <color indexed="17"/>
        <rFont val="Arial"/>
      </rPr>
      <t xml:space="preserve"> </t>
    </r>
    <r>
      <rPr>
        <b val="1"/>
        <u val="single"/>
        <sz val="10"/>
        <color indexed="17"/>
        <rFont val="Arial"/>
      </rPr>
      <t>Internal Rotation</t>
    </r>
  </si>
  <si>
    <t>3 x 6s of each per side</t>
  </si>
  <si>
    <t xml:space="preserve">Trunk Endurance </t>
  </si>
  <si>
    <t xml:space="preserve">This is a circuit with rest as needed at the end of the circuit, and no rest between exercises  </t>
  </si>
  <si>
    <t xml:space="preserve">Est. Total Time: 2-3 min </t>
  </si>
  <si>
    <t xml:space="preserve"> </t>
  </si>
  <si>
    <t>Dumbbell Deadbugs</t>
  </si>
  <si>
    <t xml:space="preserve">Make sure to protract shoulders </t>
  </si>
  <si>
    <t xml:space="preserve">30s continuous reps </t>
  </si>
  <si>
    <t xml:space="preserve">45s continuous reps </t>
  </si>
  <si>
    <t xml:space="preserve">Terminal Breathing Superman </t>
  </si>
  <si>
    <t xml:space="preserve">It is important to fill lungs completely before taking 3 additional sips of air </t>
  </si>
  <si>
    <r>
      <rPr>
        <b val="1"/>
        <u val="single"/>
        <sz val="10"/>
        <color indexed="17"/>
        <rFont val="Arial"/>
      </rPr>
      <t>Picture</t>
    </r>
  </si>
  <si>
    <t xml:space="preserve">Strength </t>
  </si>
  <si>
    <t xml:space="preserve">This is a circuit, rest as needed in between exercises, but the exercises are meant to be completed in a series. Rest is AS NEEDED at the end of the circuit. Suggested time of 1-2 min </t>
  </si>
  <si>
    <t xml:space="preserve">Est. Total Time: 25 min </t>
  </si>
  <si>
    <t xml:space="preserve">TRX Y Stretch </t>
  </si>
  <si>
    <t xml:space="preserve">To be done with the first of 2 warm up sets of squat and chest press </t>
  </si>
  <si>
    <r>
      <rPr>
        <b val="1"/>
        <u val="single"/>
        <sz val="10"/>
        <color indexed="17"/>
        <rFont val="Arial"/>
      </rPr>
      <t xml:space="preserve">video </t>
    </r>
  </si>
  <si>
    <t xml:space="preserve"> 6 repetitions </t>
  </si>
  <si>
    <t xml:space="preserve">TRX Plank </t>
  </si>
  <si>
    <r>
      <rPr>
        <b val="1"/>
        <u val="single"/>
        <sz val="10"/>
        <color indexed="17"/>
        <rFont val="Arial"/>
      </rPr>
      <t xml:space="preserve">Video </t>
    </r>
  </si>
  <si>
    <t xml:space="preserve">Unloaded </t>
  </si>
  <si>
    <t>Unloaded</t>
  </si>
  <si>
    <t xml:space="preserve">ISOPhit Zercher Squat </t>
  </si>
  <si>
    <t xml:space="preserve">Be sure to breathe!! </t>
  </si>
  <si>
    <t>30s hold</t>
  </si>
  <si>
    <t>50% Press</t>
  </si>
  <si>
    <t xml:space="preserve">Barbell Squat with slight pause at bottom </t>
  </si>
  <si>
    <t xml:space="preserve">First set is a warm up set, and can be @ 6 reps. Knees should be at 90 or just below at bottom. Elevate heels if chest collapses. </t>
  </si>
  <si>
    <r>
      <rPr>
        <b val="1"/>
        <u val="single"/>
        <sz val="10"/>
        <color indexed="17"/>
        <rFont val="Arial"/>
      </rPr>
      <t xml:space="preserve">GIF </t>
    </r>
  </si>
  <si>
    <t>12 reps SLOWLY!!!!</t>
  </si>
  <si>
    <t xml:space="preserve">Single Arm Dumbbell Chest Press </t>
  </si>
  <si>
    <t xml:space="preserve">First set is a warm up set, and can be @ 6 reps. Pause at the bottom Make sure you protract fully at the top of the rep.   </t>
  </si>
  <si>
    <r>
      <rPr>
        <b val="1"/>
        <u val="single"/>
        <sz val="10"/>
        <color indexed="17"/>
        <rFont val="Arial"/>
      </rPr>
      <t xml:space="preserve">Picture </t>
    </r>
  </si>
  <si>
    <t xml:space="preserve">Push up Burnout </t>
  </si>
  <si>
    <t xml:space="preserve">To be done at the end. Can be done on bench, TRX, or ground, but chest must come to same level as the hands </t>
  </si>
  <si>
    <t xml:space="preserve">Failure </t>
  </si>
  <si>
    <t xml:space="preserve">Calf Stretch </t>
  </si>
  <si>
    <r>
      <rPr>
        <b val="1"/>
        <u val="single"/>
        <sz val="12"/>
        <color indexed="17"/>
        <rFont val="Arial"/>
      </rPr>
      <t xml:space="preserve">GIF </t>
    </r>
  </si>
  <si>
    <t xml:space="preserve">60s per side   </t>
  </si>
  <si>
    <t>Day 2</t>
  </si>
  <si>
    <t xml:space="preserve">Est. Total Time: 15-20 min </t>
  </si>
  <si>
    <t xml:space="preserve"> Hamstring Wall Progression </t>
  </si>
  <si>
    <t xml:space="preserve">Make sure knee is straight, but not locked </t>
  </si>
  <si>
    <t xml:space="preserve">2 Video Cycles Per Side </t>
  </si>
  <si>
    <t xml:space="preserve">This is a circuit, rest as needed in between exercises, but the exercises are meant to be completed in a series. Rest is AS NEEDED at the end of the circuit </t>
  </si>
  <si>
    <t xml:space="preserve">Est. Total Time: 5-6min </t>
  </si>
  <si>
    <t xml:space="preserve">Terminal Breathing Plank on Hands </t>
  </si>
  <si>
    <t xml:space="preserve">Terminal Breathing Side Plank </t>
  </si>
  <si>
    <t xml:space="preserve"> Make sure hips are stacked </t>
  </si>
  <si>
    <t>Lateral Lunge T-spine Rotation</t>
  </si>
  <si>
    <t xml:space="preserve">Deep breath in and out when fully extended </t>
  </si>
  <si>
    <t xml:space="preserve">12 per side </t>
  </si>
  <si>
    <t xml:space="preserve">Band rotation </t>
  </si>
  <si>
    <t xml:space="preserve">Try to keep hips square and only rotate the upper body </t>
  </si>
  <si>
    <t xml:space="preserve">15 reps </t>
  </si>
  <si>
    <t xml:space="preserve">1/2 in Superband </t>
  </si>
  <si>
    <t>1/2 in superband</t>
  </si>
  <si>
    <t xml:space="preserve">Hex Bar DL </t>
  </si>
  <si>
    <t>First set is a warm up set, and can be @ 6 reps.</t>
  </si>
  <si>
    <t xml:space="preserve">Single Arm Seated Cable Row </t>
  </si>
  <si>
    <t xml:space="preserve">Can be overhand, underhand, or neutral. </t>
  </si>
  <si>
    <t xml:space="preserve">IsoPhit Split Stance DL (Coach Demo)  </t>
  </si>
  <si>
    <t xml:space="preserve">Be sure to make sure back is flat. Discontinue after completing 2 times and rest for 60-90s between sets  </t>
  </si>
  <si>
    <t xml:space="preserve">20s per side </t>
  </si>
  <si>
    <t>30s per side</t>
  </si>
  <si>
    <t xml:space="preserve">30s per side </t>
  </si>
  <si>
    <t xml:space="preserve">Flexed Arm Hang </t>
  </si>
  <si>
    <t xml:space="preserve">To be done at the end to failure. If you can do pull ups, do pull ups to failure. </t>
  </si>
  <si>
    <r>
      <rPr>
        <b val="1"/>
        <u val="single"/>
        <sz val="12"/>
        <color indexed="17"/>
        <rFont val="Arial"/>
      </rPr>
      <t xml:space="preserve">Picture </t>
    </r>
  </si>
  <si>
    <t>Day 3 (Optional)</t>
  </si>
  <si>
    <t xml:space="preserve">Est. Total Time: 10-12 min  </t>
  </si>
  <si>
    <t>10 per direction, per side (SLOW)</t>
  </si>
  <si>
    <t xml:space="preserve">Full Cycle Per Side </t>
  </si>
  <si>
    <t xml:space="preserve">Bulgarian Split Squat with Rotation </t>
  </si>
  <si>
    <t xml:space="preserve">Slow Eccentric with pause, Normal Concentric </t>
  </si>
  <si>
    <r>
      <rPr>
        <b val="1"/>
        <u val="single"/>
        <sz val="13"/>
        <color indexed="17"/>
        <rFont val="Calibri"/>
      </rPr>
      <t>video</t>
    </r>
  </si>
  <si>
    <t xml:space="preserve">6 per side </t>
  </si>
  <si>
    <t>15lbs</t>
  </si>
  <si>
    <t>20lbs</t>
  </si>
  <si>
    <t>Strength 1</t>
  </si>
  <si>
    <t>Est. Total Time: 15-20</t>
  </si>
  <si>
    <t>Barbell Split Squat (Estimate Weight)</t>
  </si>
  <si>
    <t xml:space="preserve">Knees should be at 90 or just below at bottom. Elevate heels if chest collapses (First 2 sets are warm up sets)  </t>
  </si>
  <si>
    <t>6 reps SLOWLY!!!!</t>
  </si>
  <si>
    <t xml:space="preserve">Dumbbell Chest Press </t>
  </si>
  <si>
    <t xml:space="preserve">Pause at the bottom (First 2 sets are warm ups) </t>
  </si>
  <si>
    <t xml:space="preserve">Strength 2 </t>
  </si>
  <si>
    <t xml:space="preserve">Barbell Bridge </t>
  </si>
  <si>
    <t xml:space="preserve">Pause at the top, and be sure not to use lower back (First 2 sets are warm ups) </t>
  </si>
  <si>
    <t xml:space="preserve">6 reps SLOWLY!!! </t>
  </si>
  <si>
    <t>Bench Row (knees on bench)</t>
  </si>
  <si>
    <t>Make sure to fully retract shoulder blades (First 2 sets are warm ups)</t>
  </si>
  <si>
    <t xml:space="preserve">6 reps SLOWLY!! </t>
  </si>
  <si>
    <t xml:space="preserve">Week 5 (Thanksgiving Week) </t>
  </si>
  <si>
    <t xml:space="preserve">Week 6 </t>
  </si>
  <si>
    <t xml:space="preserve">15 repetitions </t>
  </si>
  <si>
    <t xml:space="preserve">Est. Total Time: 3-4 min </t>
  </si>
  <si>
    <t xml:space="preserve">Est. Total Time: 2 min </t>
  </si>
  <si>
    <t>Single Arm Dumbbell Deadbugs</t>
  </si>
  <si>
    <t xml:space="preserve">Make sure to protract shoulders, and use 75% of your bench 1RM </t>
  </si>
  <si>
    <t xml:space="preserve">2 (1 per side) </t>
  </si>
  <si>
    <t xml:space="preserve">60s continuous reps </t>
  </si>
  <si>
    <t xml:space="preserve">4 (2 per side) </t>
  </si>
  <si>
    <t xml:space="preserve">90s continuous reps </t>
  </si>
  <si>
    <t xml:space="preserve">Superman Swimmers (Slow) </t>
  </si>
  <si>
    <t xml:space="preserve">TRX Y-Stretch </t>
  </si>
  <si>
    <t xml:space="preserve"> 30s per side </t>
  </si>
  <si>
    <t xml:space="preserve">Band Resisted Barbell Squat </t>
  </si>
  <si>
    <t>10 reps SLOWLY!!!!</t>
  </si>
  <si>
    <t>8 reps SLOWLY!!!!</t>
  </si>
  <si>
    <t xml:space="preserve">Single Arm T-Press (1 or 2 legs) </t>
  </si>
  <si>
    <t xml:space="preserve">Make sure back is flat here, with the pelvis as near to neutral as possible </t>
  </si>
  <si>
    <t xml:space="preserve">TRX Side Plank </t>
  </si>
  <si>
    <t xml:space="preserve">70s per side   </t>
  </si>
  <si>
    <t xml:space="preserve">90s per side   </t>
  </si>
  <si>
    <t xml:space="preserve">Lateral Lunge T-spine Rotation (Hold with reps) </t>
  </si>
  <si>
    <t xml:space="preserve">6 per side SLOW  </t>
  </si>
  <si>
    <t xml:space="preserve">6 per side FAST!  </t>
  </si>
  <si>
    <t xml:space="preserve">6 per side FAST!!!!  </t>
  </si>
  <si>
    <t>6 per side SLOWLY!!!!</t>
  </si>
  <si>
    <t xml:space="preserve">Paloff Press </t>
  </si>
  <si>
    <t xml:space="preserve">10 reps </t>
  </si>
  <si>
    <t xml:space="preserve">10 reps SLOWLY!!!! </t>
  </si>
  <si>
    <t>15 reps FAST!</t>
  </si>
  <si>
    <t>15 reps FAST!!!!</t>
  </si>
  <si>
    <t xml:space="preserve">15 reps SLOWLY!!!! </t>
  </si>
  <si>
    <t xml:space="preserve">Hex Bar DL w/ Band Resistance  </t>
  </si>
  <si>
    <t xml:space="preserve">Split Stance SL Deadlift </t>
  </si>
  <si>
    <r>
      <rPr>
        <b val="1"/>
        <u val="single"/>
        <sz val="12"/>
        <color indexed="17"/>
        <rFont val="Arial"/>
      </rPr>
      <t xml:space="preserve">Video </t>
    </r>
  </si>
  <si>
    <t xml:space="preserve">Should be medium to heavy </t>
  </si>
  <si>
    <t xml:space="preserve">Band Assisted Pull Ups </t>
  </si>
  <si>
    <t xml:space="preserve">Dual Pause Front Squat </t>
  </si>
  <si>
    <t xml:space="preserve">Knees should be at 90 at bottom. Elevate heels if chest collapses. Make sure to pause for 1-2s at each position and reinforce lift in torso and elbows </t>
  </si>
  <si>
    <t>6 reps quickly (without pause)</t>
  </si>
  <si>
    <t xml:space="preserve">Barbell Hip Thrust  </t>
  </si>
  <si>
    <t xml:space="preserve">Pause at the top for 1-2s, and be sure not to use lower back </t>
  </si>
  <si>
    <t xml:space="preserve">Plank </t>
  </si>
  <si>
    <t xml:space="preserve">TBD </t>
  </si>
  <si>
    <t xml:space="preserve">Butt Walks </t>
  </si>
  <si>
    <t xml:space="preserve">15 forward, 15 backwards </t>
  </si>
  <si>
    <t xml:space="preserve">10lb plate </t>
  </si>
  <si>
    <t xml:space="preserve">Deadbug + Pull Over </t>
  </si>
  <si>
    <t xml:space="preserve">Can use a dumbbell or a Plate. Make sure to avoid rib flare </t>
  </si>
  <si>
    <t xml:space="preserve">15 per leg (30 on the upper body) </t>
  </si>
  <si>
    <t xml:space="preserve">5lb </t>
  </si>
  <si>
    <t xml:space="preserve">10lb </t>
  </si>
  <si>
    <t xml:space="preserve">15lb </t>
  </si>
  <si>
    <t xml:space="preserve">25lb </t>
  </si>
  <si>
    <t>20lb</t>
  </si>
  <si>
    <t>35lb</t>
  </si>
  <si>
    <t xml:space="preserve">Superman Band Dislocation </t>
  </si>
  <si>
    <t xml:space="preserve">It’s important to move slowly during this exercise </t>
  </si>
  <si>
    <t xml:space="preserve">1/4 in super band </t>
  </si>
  <si>
    <t xml:space="preserve">Strength 1 </t>
  </si>
  <si>
    <t xml:space="preserve">Posterior Chain Prep Using Bench or Box </t>
  </si>
  <si>
    <t xml:space="preserve">Take 2 deep breaths in and out at the bottom </t>
  </si>
  <si>
    <t>6 repetitions (2 breaths in/out at the bottom)</t>
  </si>
  <si>
    <t xml:space="preserve">Barbell Squat </t>
  </si>
  <si>
    <t xml:space="preserve">1 warm up set. Must Squat to Posterior Chain Prep Depth </t>
  </si>
  <si>
    <t xml:space="preserve"> Barbell Squat Hops to 90. </t>
  </si>
  <si>
    <t xml:space="preserve">1 warm up set </t>
  </si>
  <si>
    <r>
      <rPr>
        <b val="1"/>
        <u val="single"/>
        <sz val="10"/>
        <color indexed="17"/>
        <rFont val="Arial"/>
      </rPr>
      <t xml:space="preserve"> </t>
    </r>
    <r>
      <rPr>
        <b val="1"/>
        <u val="single"/>
        <sz val="10"/>
        <color indexed="17"/>
        <rFont val="Arial"/>
      </rPr>
      <t xml:space="preserve">Video </t>
    </r>
  </si>
  <si>
    <t xml:space="preserve">6 reps </t>
  </si>
  <si>
    <t xml:space="preserve">Box Jump w/ No Arm Swing   </t>
  </si>
  <si>
    <t xml:space="preserve">Height should be uncomfortable. 1 warm up set </t>
  </si>
  <si>
    <t>Strength 2</t>
  </si>
  <si>
    <t xml:space="preserve">Dumbbell Push Press w/ Pause </t>
  </si>
  <si>
    <t>Hang Power Clean</t>
  </si>
  <si>
    <t xml:space="preserve">Empty Bar </t>
  </si>
  <si>
    <t xml:space="preserve">95lbs </t>
  </si>
  <si>
    <t xml:space="preserve">Plate Loaded Plank </t>
  </si>
  <si>
    <t xml:space="preserve">10lbs </t>
  </si>
  <si>
    <t>25lbs</t>
  </si>
  <si>
    <t xml:space="preserve">25lbs </t>
  </si>
  <si>
    <t xml:space="preserve">Kneeling Paloff Press </t>
  </si>
  <si>
    <t xml:space="preserve">Try to keep hips and shoulders square </t>
  </si>
  <si>
    <t xml:space="preserve">20 reps per side  </t>
  </si>
  <si>
    <t xml:space="preserve">25 reps per side  </t>
  </si>
  <si>
    <t xml:space="preserve">30 reps per side  </t>
  </si>
  <si>
    <t xml:space="preserve">Copenhagen Side Plank </t>
  </si>
  <si>
    <t xml:space="preserve">75s per side   </t>
  </si>
  <si>
    <t xml:space="preserve">Strict Series in “Spring Cleaning” </t>
  </si>
  <si>
    <t xml:space="preserve">Barbell Rebound Hops </t>
  </si>
  <si>
    <t xml:space="preserve">Hang Clean </t>
  </si>
  <si>
    <t xml:space="preserve">Inverted Row </t>
  </si>
  <si>
    <t>Can be overhand or underhand</t>
  </si>
  <si>
    <t xml:space="preserve">Ski Jumps with pause </t>
  </si>
  <si>
    <t xml:space="preserve">TRX Hamstring Curl  </t>
  </si>
  <si>
    <t xml:space="preserve">Barbell Split Squat </t>
  </si>
  <si>
    <t xml:space="preserve">Chest Press (barbell or dumbbell) </t>
  </si>
  <si>
    <t xml:space="preserve">Pause at the top for 1-2s, and be sure not to use lower back (First 2 sets are warm ups)  </t>
  </si>
  <si>
    <t xml:space="preserve">Bench Row (with Knees on Bench) or Pull Up </t>
  </si>
  <si>
    <t xml:space="preserve">Est. Total: 15 min </t>
  </si>
  <si>
    <t xml:space="preserve">Est. Total: 25 min </t>
  </si>
  <si>
    <t xml:space="preserve">Box Squat </t>
  </si>
  <si>
    <t xml:space="preserve">Knees should be at 90 at bottom. Elevate heels if chest collapses (First 2 sets are warm up sets)  </t>
  </si>
  <si>
    <t xml:space="preserve">8 @ .75-.85 m/s </t>
  </si>
  <si>
    <t xml:space="preserve">6 @ .5-.7 m/s </t>
  </si>
  <si>
    <t xml:space="preserve">6 @ .85-1 m/s </t>
  </si>
  <si>
    <t xml:space="preserve">Barbell Chest Press </t>
  </si>
  <si>
    <t xml:space="preserve">Pause at the bottom (First 2 sets are warm up sets)  </t>
  </si>
  <si>
    <t xml:space="preserve">6 @ .85-1.00 m/s </t>
  </si>
  <si>
    <t xml:space="preserve">Hang Clean w/ Squat </t>
  </si>
  <si>
    <t xml:space="preserve">2 warm up sets Drop as quickly as possible  </t>
  </si>
  <si>
    <t xml:space="preserve">6 @ .8-1 m/s </t>
  </si>
  <si>
    <t xml:space="preserve">Velocity Driven </t>
  </si>
  <si>
    <t xml:space="preserve">Stretch </t>
  </si>
  <si>
    <t xml:space="preserve">Warm UP </t>
  </si>
  <si>
    <t xml:space="preserve">IsoPhit Static DL  </t>
  </si>
  <si>
    <t xml:space="preserve">Hex DL </t>
  </si>
  <si>
    <t xml:space="preserve">First 2 sets are warm ups without pull ups or band rotation  </t>
  </si>
  <si>
    <t xml:space="preserve">6 @ .75-.85 m/s </t>
  </si>
  <si>
    <t xml:space="preserve">Pendlay Row </t>
  </si>
  <si>
    <t xml:space="preserve">The </t>
  </si>
  <si>
    <t xml:space="preserve">Stretch of choice </t>
  </si>
  <si>
    <t xml:space="preserve">Day 3 </t>
  </si>
  <si>
    <t xml:space="preserve">Warm up of choice </t>
  </si>
  <si>
    <t>Est. Total: 15-20</t>
  </si>
  <si>
    <t>8RM</t>
  </si>
  <si>
    <t>6RM</t>
  </si>
  <si>
    <t xml:space="preserve">6RM </t>
  </si>
  <si>
    <t xml:space="preserve">90/90 Reps </t>
  </si>
  <si>
    <t xml:space="preserve">Strength + Power </t>
  </si>
  <si>
    <t>75% Press</t>
  </si>
  <si>
    <t>100% Press</t>
  </si>
  <si>
    <t xml:space="preserve">Knees should be at 90 at bottom. Elevate heels if chest collapses </t>
  </si>
  <si>
    <t xml:space="preserve">6 @ .65-.75 m/s </t>
  </si>
  <si>
    <t xml:space="preserve">6 @.55-.65 m/s </t>
  </si>
  <si>
    <t xml:space="preserve">6 @ .55-.65 m/s </t>
  </si>
  <si>
    <t>Barbell Box Squat Hop</t>
  </si>
  <si>
    <t xml:space="preserve">4 @ 1-1.3 m/s </t>
  </si>
  <si>
    <t xml:space="preserve">4 @ 1-1.3 m/s (Safety Strap Pause) </t>
  </si>
  <si>
    <t xml:space="preserve">4 @ 1.3-1.5 m/s (Safety Strap Pause) </t>
  </si>
  <si>
    <t xml:space="preserve">Power 2 </t>
  </si>
  <si>
    <t xml:space="preserve">6 @ 1 m/s </t>
  </si>
  <si>
    <t>First 2 sets are warm ups</t>
  </si>
  <si>
    <t xml:space="preserve">4 @ .8-1.25 m/s </t>
  </si>
  <si>
    <t>Power 3</t>
  </si>
  <si>
    <t>Push Up or Explosive Push Up</t>
  </si>
  <si>
    <t xml:space="preserve">6 or Failure </t>
  </si>
  <si>
    <t>6 or Failure</t>
  </si>
  <si>
    <t xml:space="preserve">Pistol Squat Hop </t>
  </si>
  <si>
    <t>6 per Side</t>
  </si>
  <si>
    <t>6 per side</t>
  </si>
  <si>
    <t xml:space="preserve">Team Stretch </t>
  </si>
  <si>
    <t xml:space="preserve">Hex Bar Hops </t>
  </si>
  <si>
    <t xml:space="preserve">1 Warm Up Set </t>
  </si>
  <si>
    <t xml:space="preserve">4 @ 1.25 m/s </t>
  </si>
  <si>
    <t xml:space="preserve">Lateral Skater Jumps </t>
  </si>
  <si>
    <t xml:space="preserve">6 per side w/ pause </t>
  </si>
  <si>
    <t xml:space="preserve">6 per side continuous </t>
  </si>
  <si>
    <t xml:space="preserve">Pull Up w/ Band </t>
  </si>
  <si>
    <t>Failure</t>
  </si>
  <si>
    <t xml:space="preserve">Pull Up or Push Up </t>
  </si>
  <si>
    <t xml:space="preserve"> Bodyweight </t>
  </si>
  <si>
    <t xml:space="preserve">+10-15% of Bodyweight </t>
  </si>
  <si>
    <t>Power 1</t>
  </si>
  <si>
    <r>
      <rPr>
        <b val="1"/>
        <u val="single"/>
        <sz val="10"/>
        <color indexed="8"/>
        <rFont val="Arial"/>
      </rPr>
      <t>RM Calculator</t>
    </r>
    <r>
      <rPr>
        <b val="1"/>
        <u val="single"/>
        <sz val="10"/>
        <color indexed="13"/>
        <rFont val="Arial"/>
      </rPr>
      <t xml:space="preserve"> </t>
    </r>
  </si>
  <si>
    <t>Split Squat Hop</t>
  </si>
  <si>
    <t>Power 2</t>
  </si>
  <si>
    <t xml:space="preserve">4 @ 1.3-1.6 m/s </t>
  </si>
  <si>
    <t xml:space="preserve">4 @ 1.25-1.6 m/s </t>
  </si>
  <si>
    <t xml:space="preserve">4 @ 1.6-1.85 m/s </t>
  </si>
  <si>
    <t>Push Up</t>
  </si>
  <si>
    <t xml:space="preserve">RM Calculator </t>
  </si>
  <si>
    <t>Barbell or Hex RDL</t>
  </si>
  <si>
    <t>8, Slow down—&gt; Fast Up</t>
  </si>
  <si>
    <t>Single Arm Seated Cable Row</t>
  </si>
  <si>
    <t xml:space="preserve">8 reps per side </t>
  </si>
  <si>
    <t xml:space="preserve">Ancore 45lbs/ Bodyweight </t>
  </si>
  <si>
    <t xml:space="preserve">Ancore 65lbs/ +10-15% of Bodyweight </t>
  </si>
  <si>
    <t xml:space="preserve">6 reps per side </t>
  </si>
  <si>
    <t xml:space="preserve">Ancore 65lbs/ Bodyweight </t>
  </si>
  <si>
    <t xml:space="preserve">14RM </t>
  </si>
  <si>
    <t xml:space="preserve">10RM </t>
  </si>
  <si>
    <t xml:space="preserve">12RM </t>
  </si>
  <si>
    <t>Push Up or Inverted Row</t>
  </si>
  <si>
    <t xml:space="preserve"> +10-15% of  Bodyweight </t>
  </si>
  <si>
    <t xml:space="preserve">Day 2 </t>
  </si>
  <si>
    <t xml:space="preserve">Metronome Box Squat </t>
  </si>
  <si>
    <t xml:space="preserve">Knees should be at 90 at bottom. Elevate heels if chest collapses. 1 Warm up Set </t>
  </si>
  <si>
    <t xml:space="preserve">20 S/R (40BPM) </t>
  </si>
  <si>
    <t xml:space="preserve">Band Assisted Jump Squat </t>
  </si>
  <si>
    <t xml:space="preserve">Knees should be at 90 at bottom. Elevate heels if chest collapses. 1 Warm up Set  </t>
  </si>
  <si>
    <t xml:space="preserve">Med Ball Slam </t>
  </si>
  <si>
    <t xml:space="preserve">Technique is the same no matter the type of ball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</si>
</sst>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m]&quot;m&quot;"/>
    <numFmt numFmtId="60" formatCode="[m]&quot;m&quot; s&quot;s&quot;"/>
  </numFmts>
  <fonts count="14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rial"/>
    </font>
    <font>
      <sz val="15"/>
      <color indexed="8"/>
      <name val="Calibri"/>
    </font>
    <font>
      <b val="1"/>
      <sz val="14"/>
      <color indexed="8"/>
      <name val="Calibri"/>
    </font>
    <font>
      <b val="1"/>
      <sz val="10"/>
      <color indexed="8"/>
      <name val="Arial"/>
    </font>
    <font>
      <b val="1"/>
      <u val="single"/>
      <sz val="10"/>
      <color indexed="13"/>
      <name val="Arial"/>
    </font>
    <font>
      <sz val="14"/>
      <color indexed="8"/>
      <name val="Calibri"/>
    </font>
    <font>
      <b val="1"/>
      <u val="single"/>
      <sz val="10"/>
      <color indexed="17"/>
      <name val="Arial"/>
    </font>
    <font>
      <b val="1"/>
      <sz val="14"/>
      <color indexed="8"/>
      <name val="Arial"/>
    </font>
    <font>
      <b val="1"/>
      <u val="single"/>
      <sz val="12"/>
      <color indexed="17"/>
      <name val="Arial"/>
    </font>
    <font>
      <b val="1"/>
      <u val="single"/>
      <sz val="10"/>
      <color indexed="8"/>
      <name val="Arial"/>
    </font>
    <font>
      <b val="1"/>
      <sz val="13"/>
      <color indexed="8"/>
      <name val="Arial"/>
    </font>
    <font>
      <b val="1"/>
      <u val="single"/>
      <sz val="13"/>
      <color indexed="17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4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medium">
        <color indexed="8"/>
      </top>
      <bottom style="thin">
        <color indexed="1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1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medium">
        <color indexed="8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medium">
        <color indexed="8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medium">
        <color indexed="8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1"/>
      </top>
      <bottom style="thin">
        <color indexed="21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21"/>
      </bottom>
      <diagonal/>
    </border>
    <border>
      <left style="medium">
        <color indexed="8"/>
      </left>
      <right style="medium">
        <color indexed="8"/>
      </right>
      <top style="thin">
        <color indexed="21"/>
      </top>
      <bottom style="thin">
        <color indexed="21"/>
      </bottom>
      <diagonal/>
    </border>
    <border>
      <left style="medium">
        <color indexed="8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medium">
        <color indexed="8"/>
      </right>
      <top style="thin">
        <color indexed="21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21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2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21"/>
      </bottom>
      <diagonal/>
    </border>
    <border>
      <left style="thin">
        <color indexed="11"/>
      </left>
      <right style="medium">
        <color indexed="8"/>
      </right>
      <top style="thin">
        <color indexed="11"/>
      </top>
      <bottom style="thin">
        <color indexed="21"/>
      </bottom>
      <diagonal/>
    </border>
    <border>
      <left style="medium">
        <color indexed="8"/>
      </left>
      <right style="medium">
        <color indexed="8"/>
      </right>
      <top style="thin">
        <color indexed="21"/>
      </top>
      <bottom style="thin">
        <color indexed="11"/>
      </bottom>
      <diagonal/>
    </border>
    <border>
      <left style="medium">
        <color indexed="8"/>
      </left>
      <right style="thin">
        <color indexed="11"/>
      </right>
      <top style="thin">
        <color indexed="2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21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thin">
        <color indexed="21"/>
      </top>
      <bottom style="thin">
        <color indexed="11"/>
      </bottom>
      <diagonal/>
    </border>
    <border>
      <left style="medium">
        <color indexed="8"/>
      </left>
      <right style="medium">
        <color indexed="8"/>
      </right>
      <top style="thin">
        <color indexed="11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11"/>
      </top>
      <bottom style="medium">
        <color indexed="11"/>
      </bottom>
      <diagonal/>
    </border>
    <border>
      <left style="medium">
        <color indexed="8"/>
      </left>
      <right style="medium">
        <color indexed="8"/>
      </right>
      <top style="medium">
        <color indexed="11"/>
      </top>
      <bottom style="medium">
        <color indexed="11"/>
      </bottom>
      <diagonal/>
    </border>
    <border>
      <left style="medium">
        <color indexed="8"/>
      </left>
      <right style="medium">
        <color indexed="8"/>
      </right>
      <top style="medium">
        <color indexed="11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11"/>
      </bottom>
      <diagonal/>
    </border>
    <border>
      <left style="medium">
        <color indexed="8"/>
      </left>
      <right style="medium">
        <color indexed="8"/>
      </right>
      <top style="medium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center" vertical="bottom" wrapText="1"/>
    </xf>
    <xf numFmtId="0" fontId="4" fillId="3" borderId="1" applyNumberFormat="0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wrapText="1"/>
    </xf>
    <xf numFmtId="0" fontId="5" fillId="4" borderId="3" applyNumberFormat="0" applyFont="1" applyFill="1" applyBorder="1" applyAlignment="1" applyProtection="0">
      <alignment vertical="bottom"/>
    </xf>
    <xf numFmtId="0" fontId="5" fillId="4" borderId="4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0" fontId="4" fillId="3" borderId="1" applyNumberFormat="0" applyFont="1" applyFill="1" applyBorder="1" applyAlignment="1" applyProtection="0">
      <alignment horizontal="center" vertical="bottom" wrapText="1"/>
    </xf>
    <xf numFmtId="0" fontId="6" fillId="3" borderId="1" applyNumberFormat="0" applyFont="1" applyFill="1" applyBorder="1" applyAlignment="1" applyProtection="0">
      <alignment horizontal="center" vertical="bottom" wrapText="1"/>
    </xf>
    <xf numFmtId="0" fontId="7" fillId="3" borderId="2" applyNumberFormat="0" applyFont="1" applyFill="1" applyBorder="1" applyAlignment="1" applyProtection="0">
      <alignment horizontal="center" vertical="bottom" wrapText="1"/>
    </xf>
    <xf numFmtId="0" fontId="7" fillId="3" borderId="3" applyNumberFormat="0" applyFont="1" applyFill="1" applyBorder="1" applyAlignment="1" applyProtection="0">
      <alignment horizontal="center" vertical="bottom" wrapText="1"/>
    </xf>
    <xf numFmtId="0" fontId="7" fillId="3" borderId="4" applyNumberFormat="0" applyFont="1" applyFill="1" applyBorder="1" applyAlignment="1" applyProtection="0">
      <alignment horizontal="center" vertical="bottom" wrapText="1"/>
    </xf>
    <xf numFmtId="49" fontId="4" fillId="5" borderId="1" applyNumberFormat="1" applyFont="1" applyFill="1" applyBorder="1" applyAlignment="1" applyProtection="0">
      <alignment horizontal="center" vertical="bottom" wrapText="1"/>
    </xf>
    <xf numFmtId="0" fontId="4" fillId="5" borderId="1" applyNumberFormat="0" applyFont="1" applyFill="1" applyBorder="1" applyAlignment="1" applyProtection="0">
      <alignment horizontal="center" vertical="bottom" wrapText="1"/>
    </xf>
    <xf numFmtId="0" fontId="6" fillId="5" borderId="1" applyNumberFormat="0" applyFont="1" applyFill="1" applyBorder="1" applyAlignment="1" applyProtection="0">
      <alignment horizontal="center" vertical="bottom" wrapText="1"/>
    </xf>
    <xf numFmtId="0" fontId="4" fillId="6" borderId="5" applyNumberFormat="0" applyFont="1" applyFill="1" applyBorder="1" applyAlignment="1" applyProtection="0">
      <alignment horizontal="center" vertical="bottom" wrapText="1"/>
    </xf>
    <xf numFmtId="49" fontId="4" fillId="6" borderId="6" applyNumberFormat="1" applyFont="1" applyFill="1" applyBorder="1" applyAlignment="1" applyProtection="0">
      <alignment horizontal="center" vertical="bottom" wrapText="1"/>
    </xf>
    <xf numFmtId="0" fontId="4" fillId="6" borderId="6" applyNumberFormat="0" applyFont="1" applyFill="1" applyBorder="1" applyAlignment="1" applyProtection="0">
      <alignment horizontal="center" vertical="bottom" wrapText="1"/>
    </xf>
    <xf numFmtId="0" fontId="4" fillId="6" borderId="7" applyNumberFormat="0" applyFont="1" applyFill="1" applyBorder="1" applyAlignment="1" applyProtection="0">
      <alignment horizontal="center" vertical="bottom" wrapText="1"/>
    </xf>
    <xf numFmtId="49" fontId="4" fillId="7" borderId="8" applyNumberFormat="1" applyFont="1" applyFill="1" applyBorder="1" applyAlignment="1" applyProtection="0">
      <alignment horizontal="center" vertical="bottom" wrapText="1"/>
    </xf>
    <xf numFmtId="49" fontId="8" fillId="7" borderId="8" applyNumberFormat="1" applyFont="1" applyFill="1" applyBorder="1" applyAlignment="1" applyProtection="0">
      <alignment horizontal="center" vertical="bottom" wrapText="1"/>
    </xf>
    <xf numFmtId="0" fontId="8" fillId="7" borderId="8" applyNumberFormat="0" applyFont="1" applyFill="1" applyBorder="1" applyAlignment="1" applyProtection="0">
      <alignment horizontal="center" vertical="bottom" wrapText="1"/>
    </xf>
    <xf numFmtId="0" fontId="7" fillId="6" borderId="9" applyNumberFormat="1" applyFont="1" applyFill="1" applyBorder="1" applyAlignment="1" applyProtection="0">
      <alignment horizontal="center" vertical="bottom" wrapText="1"/>
    </xf>
    <xf numFmtId="49" fontId="7" fillId="6" borderId="10" applyNumberFormat="1" applyFont="1" applyFill="1" applyBorder="1" applyAlignment="1" applyProtection="0">
      <alignment horizontal="center" vertical="bottom" wrapText="1"/>
    </xf>
    <xf numFmtId="0" fontId="7" fillId="6" borderId="10" applyNumberFormat="0" applyFont="1" applyFill="1" applyBorder="1" applyAlignment="1" applyProtection="0">
      <alignment horizontal="center" vertical="bottom" wrapText="1"/>
    </xf>
    <xf numFmtId="0" fontId="7" fillId="6" borderId="11" applyNumberFormat="0" applyFont="1" applyFill="1" applyBorder="1" applyAlignment="1" applyProtection="0">
      <alignment horizontal="center" vertical="bottom" wrapText="1"/>
    </xf>
    <xf numFmtId="49" fontId="4" fillId="7" borderId="12" applyNumberFormat="1" applyFont="1" applyFill="1" applyBorder="1" applyAlignment="1" applyProtection="0">
      <alignment horizontal="center" vertical="bottom" wrapText="1"/>
    </xf>
    <xf numFmtId="49" fontId="8" fillId="7" borderId="12" applyNumberFormat="1" applyFont="1" applyFill="1" applyBorder="1" applyAlignment="1" applyProtection="0">
      <alignment horizontal="center" vertical="bottom" wrapText="1"/>
    </xf>
    <xf numFmtId="0" fontId="8" fillId="7" borderId="12" applyNumberFormat="0" applyFont="1" applyFill="1" applyBorder="1" applyAlignment="1" applyProtection="0">
      <alignment horizontal="center" vertical="bottom" wrapText="1"/>
    </xf>
    <xf numFmtId="49" fontId="8" fillId="7" borderId="12" applyNumberFormat="1" applyFont="1" applyFill="1" applyBorder="1" applyAlignment="1" applyProtection="0">
      <alignment horizontal="center" vertical="bottom"/>
    </xf>
    <xf numFmtId="0" fontId="8" fillId="7" borderId="12" applyNumberFormat="0" applyFont="1" applyFill="1" applyBorder="1" applyAlignment="1" applyProtection="0">
      <alignment horizontal="center" vertical="bottom"/>
    </xf>
    <xf numFmtId="49" fontId="4" fillId="7" borderId="13" applyNumberFormat="1" applyFont="1" applyFill="1" applyBorder="1" applyAlignment="1" applyProtection="0">
      <alignment horizontal="center" vertical="bottom" wrapText="1"/>
    </xf>
    <xf numFmtId="49" fontId="8" fillId="7" borderId="13" applyNumberFormat="1" applyFont="1" applyFill="1" applyBorder="1" applyAlignment="1" applyProtection="0">
      <alignment horizontal="center" vertical="bottom" wrapText="1"/>
    </xf>
    <xf numFmtId="0" fontId="8" fillId="7" borderId="13" applyNumberFormat="0" applyFont="1" applyFill="1" applyBorder="1" applyAlignment="1" applyProtection="0">
      <alignment horizontal="center" vertical="bottom"/>
    </xf>
    <xf numFmtId="0" fontId="7" fillId="6" borderId="14" applyNumberFormat="1" applyFont="1" applyFill="1" applyBorder="1" applyAlignment="1" applyProtection="0">
      <alignment horizontal="center" vertical="bottom" wrapText="1"/>
    </xf>
    <xf numFmtId="49" fontId="7" fillId="6" borderId="15" applyNumberFormat="1" applyFont="1" applyFill="1" applyBorder="1" applyAlignment="1" applyProtection="0">
      <alignment horizontal="center" vertical="bottom" wrapText="1"/>
    </xf>
    <xf numFmtId="0" fontId="7" fillId="6" borderId="15" applyNumberFormat="0" applyFont="1" applyFill="1" applyBorder="1" applyAlignment="1" applyProtection="0">
      <alignment horizontal="center" vertical="bottom" wrapText="1"/>
    </xf>
    <xf numFmtId="0" fontId="7" fillId="6" borderId="16" applyNumberFormat="0" applyFont="1" applyFill="1" applyBorder="1" applyAlignment="1" applyProtection="0">
      <alignment horizontal="center" vertical="bottom" wrapText="1"/>
    </xf>
    <xf numFmtId="49" fontId="4" fillId="6" borderId="7" applyNumberFormat="1" applyFont="1" applyFill="1" applyBorder="1" applyAlignment="1" applyProtection="0">
      <alignment horizontal="center" vertical="bottom" wrapText="1"/>
    </xf>
    <xf numFmtId="49" fontId="4" fillId="8" borderId="8" applyNumberFormat="1" applyFont="1" applyFill="1" applyBorder="1" applyAlignment="1" applyProtection="0">
      <alignment horizontal="center" vertical="bottom" wrapText="1"/>
    </xf>
    <xf numFmtId="49" fontId="8" fillId="8" borderId="8" applyNumberFormat="1" applyFont="1" applyFill="1" applyBorder="1" applyAlignment="1" applyProtection="0">
      <alignment horizontal="center" vertical="bottom"/>
    </xf>
    <xf numFmtId="0" fontId="8" fillId="8" borderId="8" applyNumberFormat="0" applyFont="1" applyFill="1" applyBorder="1" applyAlignment="1" applyProtection="0">
      <alignment horizontal="center" vertical="bottom"/>
    </xf>
    <xf numFmtId="0" fontId="7" fillId="6" borderId="10" applyNumberFormat="1" applyFont="1" applyFill="1" applyBorder="1" applyAlignment="1" applyProtection="0">
      <alignment horizontal="center" vertical="bottom" wrapText="1"/>
    </xf>
    <xf numFmtId="0" fontId="7" fillId="6" borderId="11" applyNumberFormat="1" applyFont="1" applyFill="1" applyBorder="1" applyAlignment="1" applyProtection="0">
      <alignment horizontal="center" vertical="bottom" wrapText="1"/>
    </xf>
    <xf numFmtId="49" fontId="4" fillId="8" borderId="13" applyNumberFormat="1" applyFont="1" applyFill="1" applyBorder="1" applyAlignment="1" applyProtection="0">
      <alignment horizontal="center" vertical="bottom" wrapText="1"/>
    </xf>
    <xf numFmtId="49" fontId="8" fillId="8" borderId="13" applyNumberFormat="1" applyFont="1" applyFill="1" applyBorder="1" applyAlignment="1" applyProtection="0">
      <alignment horizontal="center" vertical="bottom"/>
    </xf>
    <xf numFmtId="0" fontId="8" fillId="8" borderId="13" applyNumberFormat="0" applyFont="1" applyFill="1" applyBorder="1" applyAlignment="1" applyProtection="0">
      <alignment horizontal="center" vertical="bottom"/>
    </xf>
    <xf numFmtId="59" fontId="7" fillId="6" borderId="15" applyNumberFormat="1" applyFont="1" applyFill="1" applyBorder="1" applyAlignment="1" applyProtection="0">
      <alignment horizontal="center" vertical="bottom" wrapText="1"/>
    </xf>
    <xf numFmtId="60" fontId="7" fillId="6" borderId="15" applyNumberFormat="1" applyFont="1" applyFill="1" applyBorder="1" applyAlignment="1" applyProtection="0">
      <alignment horizontal="center" vertical="bottom" wrapText="1"/>
    </xf>
    <xf numFmtId="49" fontId="4" fillId="9" borderId="1" applyNumberFormat="1" applyFont="1" applyFill="1" applyBorder="1" applyAlignment="1" applyProtection="0">
      <alignment horizontal="center" vertical="bottom" wrapText="1"/>
    </xf>
    <xf numFmtId="0" fontId="6" fillId="9" borderId="1" applyNumberFormat="0" applyFont="1" applyFill="1" applyBorder="1" applyAlignment="1" applyProtection="0">
      <alignment horizontal="center" vertical="bottom" wrapText="1"/>
    </xf>
    <xf numFmtId="49" fontId="4" fillId="10" borderId="8" applyNumberFormat="1" applyFont="1" applyFill="1" applyBorder="1" applyAlignment="1" applyProtection="0">
      <alignment horizontal="center" vertical="bottom" wrapText="1"/>
    </xf>
    <xf numFmtId="49" fontId="8" fillId="10" borderId="8" applyNumberFormat="1" applyFont="1" applyFill="1" applyBorder="1" applyAlignment="1" applyProtection="0">
      <alignment horizontal="center" vertical="bottom"/>
    </xf>
    <xf numFmtId="0" fontId="8" fillId="10" borderId="8" applyNumberFormat="0" applyFont="1" applyFill="1" applyBorder="1" applyAlignment="1" applyProtection="0">
      <alignment horizontal="center" vertical="bottom"/>
    </xf>
    <xf numFmtId="49" fontId="9" fillId="10" borderId="12" applyNumberFormat="1" applyFont="1" applyFill="1" applyBorder="1" applyAlignment="1" applyProtection="0">
      <alignment horizontal="center" vertical="bottom" wrapText="1"/>
    </xf>
    <xf numFmtId="0" fontId="4" fillId="10" borderId="12" applyNumberFormat="0" applyFont="1" applyFill="1" applyBorder="1" applyAlignment="1" applyProtection="0">
      <alignment horizontal="center" vertical="bottom" wrapText="1"/>
    </xf>
    <xf numFmtId="49" fontId="8" fillId="10" borderId="12" applyNumberFormat="1" applyFont="1" applyFill="1" applyBorder="1" applyAlignment="1" applyProtection="0">
      <alignment horizontal="center" vertical="bottom" wrapText="1"/>
    </xf>
    <xf numFmtId="0" fontId="8" fillId="10" borderId="12" applyNumberFormat="0" applyFont="1" applyFill="1" applyBorder="1" applyAlignment="1" applyProtection="0">
      <alignment horizontal="center" vertical="bottom" wrapText="1"/>
    </xf>
    <xf numFmtId="59" fontId="7" fillId="6" borderId="10" applyNumberFormat="1" applyFont="1" applyFill="1" applyBorder="1" applyAlignment="1" applyProtection="0">
      <alignment horizontal="center" vertical="bottom" wrapText="1"/>
    </xf>
    <xf numFmtId="49" fontId="7" fillId="6" borderId="11" applyNumberFormat="1" applyFont="1" applyFill="1" applyBorder="1" applyAlignment="1" applyProtection="0">
      <alignment horizontal="center" vertical="bottom" wrapText="1"/>
    </xf>
    <xf numFmtId="60" fontId="7" fillId="6" borderId="10" applyNumberFormat="1" applyFont="1" applyFill="1" applyBorder="1" applyAlignment="1" applyProtection="0">
      <alignment horizontal="center" vertical="bottom" wrapText="1"/>
    </xf>
    <xf numFmtId="49" fontId="4" fillId="10" borderId="12" applyNumberFormat="1" applyFont="1" applyFill="1" applyBorder="1" applyAlignment="1" applyProtection="0">
      <alignment horizontal="center" vertical="bottom" wrapText="1"/>
    </xf>
    <xf numFmtId="49" fontId="9" fillId="10" borderId="17" applyNumberFormat="1" applyFont="1" applyFill="1" applyBorder="1" applyAlignment="1" applyProtection="0">
      <alignment horizontal="center" vertical="bottom" wrapText="1"/>
    </xf>
    <xf numFmtId="49" fontId="4" fillId="10" borderId="17" applyNumberFormat="1" applyFont="1" applyFill="1" applyBorder="1" applyAlignment="1" applyProtection="0">
      <alignment horizontal="center" vertical="bottom" wrapText="1"/>
    </xf>
    <xf numFmtId="49" fontId="8" fillId="10" borderId="17" applyNumberFormat="1" applyFont="1" applyFill="1" applyBorder="1" applyAlignment="1" applyProtection="0">
      <alignment horizontal="center" vertical="bottom" wrapText="1"/>
    </xf>
    <xf numFmtId="0" fontId="8" fillId="10" borderId="17" applyNumberFormat="0" applyFont="1" applyFill="1" applyBorder="1" applyAlignment="1" applyProtection="0">
      <alignment horizontal="center" vertical="bottom" wrapText="1"/>
    </xf>
    <xf numFmtId="0" fontId="7" fillId="6" borderId="18" applyNumberFormat="1" applyFont="1" applyFill="1" applyBorder="1" applyAlignment="1" applyProtection="0">
      <alignment horizontal="center" vertical="bottom" wrapText="1"/>
    </xf>
    <xf numFmtId="49" fontId="9" fillId="10" borderId="19" applyNumberFormat="1" applyFont="1" applyFill="1" applyBorder="1" applyAlignment="1" applyProtection="0">
      <alignment horizontal="center" vertical="bottom" wrapText="1"/>
    </xf>
    <xf numFmtId="49" fontId="4" fillId="10" borderId="19" applyNumberFormat="1" applyFont="1" applyFill="1" applyBorder="1" applyAlignment="1" applyProtection="0">
      <alignment horizontal="center" vertical="bottom" wrapText="1"/>
    </xf>
    <xf numFmtId="0" fontId="10" fillId="10" borderId="19" applyNumberFormat="0" applyFont="1" applyFill="1" applyBorder="1" applyAlignment="1" applyProtection="0">
      <alignment horizontal="center" vertical="bottom" wrapText="1"/>
    </xf>
    <xf numFmtId="0" fontId="7" fillId="10" borderId="19" applyNumberFormat="0" applyFont="1" applyFill="1" applyBorder="1" applyAlignment="1" applyProtection="0">
      <alignment horizontal="center" vertical="bottom" wrapText="1"/>
    </xf>
    <xf numFmtId="0" fontId="7" fillId="6" borderId="20" applyNumberFormat="1" applyFont="1" applyFill="1" applyBorder="1" applyAlignment="1" applyProtection="0">
      <alignment horizontal="center" vertical="bottom" wrapText="1"/>
    </xf>
    <xf numFmtId="49" fontId="7" fillId="6" borderId="21" applyNumberFormat="1" applyFont="1" applyFill="1" applyBorder="1" applyAlignment="1" applyProtection="0">
      <alignment horizontal="center" vertical="bottom" wrapText="1"/>
    </xf>
    <xf numFmtId="49" fontId="9" fillId="10" borderId="22" applyNumberFormat="1" applyFont="1" applyFill="1" applyBorder="1" applyAlignment="1" applyProtection="0">
      <alignment horizontal="center" vertical="bottom" wrapText="1"/>
    </xf>
    <xf numFmtId="0" fontId="4" fillId="10" borderId="22" applyNumberFormat="0" applyFont="1" applyFill="1" applyBorder="1" applyAlignment="1" applyProtection="0">
      <alignment horizontal="center" vertical="bottom" wrapText="1"/>
    </xf>
    <xf numFmtId="49" fontId="10" fillId="10" borderId="22" applyNumberFormat="1" applyFont="1" applyFill="1" applyBorder="1" applyAlignment="1" applyProtection="0">
      <alignment horizontal="center" vertical="bottom" wrapText="1"/>
    </xf>
    <xf numFmtId="0" fontId="7" fillId="10" borderId="22" applyNumberFormat="0" applyFont="1" applyFill="1" applyBorder="1" applyAlignment="1" applyProtection="0">
      <alignment horizontal="center" vertical="bottom" wrapText="1"/>
    </xf>
    <xf numFmtId="0" fontId="7" fillId="3" borderId="23" applyNumberFormat="0" applyFont="1" applyFill="1" applyBorder="1" applyAlignment="1" applyProtection="0">
      <alignment horizontal="center" vertical="bottom" wrapText="1"/>
    </xf>
    <xf numFmtId="0" fontId="7" fillId="3" borderId="15" applyNumberFormat="0" applyFont="1" applyFill="1" applyBorder="1" applyAlignment="1" applyProtection="0">
      <alignment horizontal="center" vertical="bottom" wrapText="1"/>
    </xf>
    <xf numFmtId="0" fontId="7" fillId="3" borderId="16" applyNumberFormat="0" applyFont="1" applyFill="1" applyBorder="1" applyAlignment="1" applyProtection="0">
      <alignment horizontal="center" vertical="bottom" wrapText="1"/>
    </xf>
    <xf numFmtId="0" fontId="4" fillId="6" borderId="6" applyNumberFormat="0" applyFont="1" applyFill="1" applyBorder="1" applyAlignment="1" applyProtection="0">
      <alignment horizontal="left" vertical="bottom" wrapText="1"/>
    </xf>
    <xf numFmtId="0" fontId="7" fillId="6" borderId="6" applyNumberFormat="0" applyFont="1" applyFill="1" applyBorder="1" applyAlignment="1" applyProtection="0">
      <alignment horizontal="center" vertical="bottom" wrapText="1"/>
    </xf>
    <xf numFmtId="0" fontId="4" fillId="6" borderId="15" applyNumberFormat="0" applyFont="1" applyFill="1" applyBorder="1" applyAlignment="1" applyProtection="0">
      <alignment horizontal="left" vertical="bottom" wrapText="1"/>
    </xf>
    <xf numFmtId="0" fontId="4" fillId="6" borderId="15" applyNumberFormat="0" applyFont="1" applyFill="1" applyBorder="1" applyAlignment="1" applyProtection="0">
      <alignment horizontal="center" vertical="bottom" wrapText="1"/>
    </xf>
    <xf numFmtId="0" fontId="4" fillId="6" borderId="16" applyNumberFormat="0" applyFont="1" applyFill="1" applyBorder="1" applyAlignment="1" applyProtection="0">
      <alignment horizontal="center" vertical="bottom" wrapText="1"/>
    </xf>
    <xf numFmtId="0" fontId="4" fillId="6" borderId="14" applyNumberFormat="0" applyFont="1" applyFill="1" applyBorder="1" applyAlignment="1" applyProtection="0">
      <alignment horizontal="center" vertical="bottom" wrapText="1"/>
    </xf>
    <xf numFmtId="0" fontId="7" fillId="2" borderId="24" applyNumberFormat="0" applyFont="1" applyFill="1" applyBorder="1" applyAlignment="1" applyProtection="0">
      <alignment horizontal="center" vertical="bottom" wrapText="1"/>
    </xf>
    <xf numFmtId="0" fontId="2" borderId="25" applyNumberFormat="0" applyFont="1" applyFill="0" applyBorder="1" applyAlignment="1" applyProtection="0">
      <alignment vertical="bottom"/>
    </xf>
    <xf numFmtId="0" fontId="2" borderId="3" applyNumberFormat="0" applyFont="1" applyFill="0" applyBorder="1" applyAlignment="1" applyProtection="0">
      <alignment vertical="bottom"/>
    </xf>
    <xf numFmtId="0" fontId="2" borderId="4" applyNumberFormat="0" applyFont="1" applyFill="0" applyBorder="1" applyAlignment="1" applyProtection="0">
      <alignment vertical="bottom"/>
    </xf>
    <xf numFmtId="0" fontId="11" fillId="5" borderId="1" applyNumberFormat="0" applyFont="1" applyFill="1" applyBorder="1" applyAlignment="1" applyProtection="0">
      <alignment horizontal="center" vertical="bottom" wrapText="1"/>
    </xf>
    <xf numFmtId="0" fontId="4" fillId="6" borderId="9" applyNumberFormat="0" applyFont="1" applyFill="1" applyBorder="1" applyAlignment="1" applyProtection="0">
      <alignment horizontal="center" vertical="bottom" wrapText="1"/>
    </xf>
    <xf numFmtId="49" fontId="4" fillId="6" borderId="10" applyNumberFormat="1" applyFont="1" applyFill="1" applyBorder="1" applyAlignment="1" applyProtection="0">
      <alignment horizontal="center" vertical="bottom" wrapText="1"/>
    </xf>
    <xf numFmtId="0" fontId="4" fillId="6" borderId="10" applyNumberFormat="0" applyFont="1" applyFill="1" applyBorder="1" applyAlignment="1" applyProtection="0">
      <alignment horizontal="center" vertical="bottom" wrapText="1"/>
    </xf>
    <xf numFmtId="0" fontId="4" fillId="6" borderId="11" applyNumberFormat="0" applyFont="1" applyFill="1" applyBorder="1" applyAlignment="1" applyProtection="0">
      <alignment horizontal="center" vertical="bottom" wrapText="1"/>
    </xf>
    <xf numFmtId="49" fontId="4" fillId="10" borderId="26" applyNumberFormat="1" applyFont="1" applyFill="1" applyBorder="1" applyAlignment="1" applyProtection="0">
      <alignment horizontal="center" vertical="bottom" wrapText="1"/>
    </xf>
    <xf numFmtId="49" fontId="8" fillId="10" borderId="26" applyNumberFormat="1" applyFont="1" applyFill="1" applyBorder="1" applyAlignment="1" applyProtection="0">
      <alignment horizontal="center" vertical="bottom"/>
    </xf>
    <xf numFmtId="0" fontId="8" fillId="10" borderId="26" applyNumberFormat="0" applyFont="1" applyFill="1" applyBorder="1" applyAlignment="1" applyProtection="0">
      <alignment horizontal="center" vertical="bottom"/>
    </xf>
    <xf numFmtId="49" fontId="8" fillId="10" borderId="19" applyNumberFormat="1" applyFont="1" applyFill="1" applyBorder="1" applyAlignment="1" applyProtection="0">
      <alignment horizontal="center" vertical="bottom" wrapText="1"/>
    </xf>
    <xf numFmtId="0" fontId="8" fillId="10" borderId="19" applyNumberFormat="0" applyFont="1" applyFill="1" applyBorder="1" applyAlignment="1" applyProtection="0">
      <alignment horizontal="center" vertical="bottom" wrapText="1"/>
    </xf>
    <xf numFmtId="49" fontId="7" fillId="6" borderId="27" applyNumberFormat="1" applyFont="1" applyFill="1" applyBorder="1" applyAlignment="1" applyProtection="0">
      <alignment horizontal="center" vertical="bottom" wrapText="1"/>
    </xf>
    <xf numFmtId="49" fontId="7" fillId="6" borderId="28" applyNumberFormat="1" applyFont="1" applyFill="1" applyBorder="1" applyAlignment="1" applyProtection="0">
      <alignment horizontal="center" vertical="bottom" wrapText="1"/>
    </xf>
    <xf numFmtId="49" fontId="9" fillId="10" borderId="29" applyNumberFormat="1" applyFont="1" applyFill="1" applyBorder="1" applyAlignment="1" applyProtection="0">
      <alignment horizontal="center" vertical="bottom" wrapText="1"/>
    </xf>
    <xf numFmtId="49" fontId="4" fillId="10" borderId="29" applyNumberFormat="1" applyFont="1" applyFill="1" applyBorder="1" applyAlignment="1" applyProtection="0">
      <alignment horizontal="center" vertical="bottom" wrapText="1"/>
    </xf>
    <xf numFmtId="0" fontId="8" fillId="10" borderId="29" applyNumberFormat="0" applyFont="1" applyFill="1" applyBorder="1" applyAlignment="1" applyProtection="0">
      <alignment horizontal="center" vertical="bottom" wrapText="1"/>
    </xf>
    <xf numFmtId="0" fontId="7" fillId="6" borderId="30" applyNumberFormat="1" applyFont="1" applyFill="1" applyBorder="1" applyAlignment="1" applyProtection="0">
      <alignment horizontal="center" vertical="bottom" wrapText="1"/>
    </xf>
    <xf numFmtId="49" fontId="7" fillId="6" borderId="31" applyNumberFormat="1" applyFont="1" applyFill="1" applyBorder="1" applyAlignment="1" applyProtection="0">
      <alignment horizontal="center" vertical="bottom" wrapText="1"/>
    </xf>
    <xf numFmtId="0" fontId="7" fillId="6" borderId="31" applyNumberFormat="1" applyFont="1" applyFill="1" applyBorder="1" applyAlignment="1" applyProtection="0">
      <alignment horizontal="center" vertical="bottom" wrapText="1"/>
    </xf>
    <xf numFmtId="0" fontId="7" fillId="6" borderId="32" applyNumberFormat="1" applyFont="1" applyFill="1" applyBorder="1" applyAlignment="1" applyProtection="0">
      <alignment horizontal="center" vertical="bottom" wrapText="1"/>
    </xf>
    <xf numFmtId="49" fontId="9" fillId="11" borderId="12" applyNumberFormat="1" applyFont="1" applyFill="1" applyBorder="1" applyAlignment="1" applyProtection="0">
      <alignment horizontal="center" vertical="bottom" wrapText="1"/>
    </xf>
    <xf numFmtId="49" fontId="4" fillId="11" borderId="12" applyNumberFormat="1" applyFont="1" applyFill="1" applyBorder="1" applyAlignment="1" applyProtection="0">
      <alignment horizontal="center" vertical="bottom" wrapText="1"/>
    </xf>
    <xf numFmtId="49" fontId="8" fillId="11" borderId="12" applyNumberFormat="1" applyFont="1" applyFill="1" applyBorder="1" applyAlignment="1" applyProtection="0">
      <alignment horizontal="center" vertical="bottom" wrapText="1"/>
    </xf>
    <xf numFmtId="0" fontId="8" fillId="11" borderId="12" applyNumberFormat="0" applyFont="1" applyFill="1" applyBorder="1" applyAlignment="1" applyProtection="0">
      <alignment horizontal="center" vertical="bottom" wrapText="1"/>
    </xf>
    <xf numFmtId="49" fontId="9" fillId="11" borderId="33" applyNumberFormat="1" applyFont="1" applyFill="1" applyBorder="1" applyAlignment="1" applyProtection="0">
      <alignment horizontal="center" vertical="bottom" wrapText="1"/>
    </xf>
    <xf numFmtId="49" fontId="4" fillId="11" borderId="33" applyNumberFormat="1" applyFont="1" applyFill="1" applyBorder="1" applyAlignment="1" applyProtection="0">
      <alignment horizontal="center" vertical="bottom" wrapText="1"/>
    </xf>
    <xf numFmtId="0" fontId="10" fillId="11" borderId="33" applyNumberFormat="0" applyFont="1" applyFill="1" applyBorder="1" applyAlignment="1" applyProtection="0">
      <alignment horizontal="center" vertical="bottom" wrapText="1"/>
    </xf>
    <xf numFmtId="49" fontId="9" fillId="11" borderId="34" applyNumberFormat="1" applyFont="1" applyFill="1" applyBorder="1" applyAlignment="1" applyProtection="0">
      <alignment horizontal="center" vertical="bottom" wrapText="1"/>
    </xf>
    <xf numFmtId="49" fontId="4" fillId="11" borderId="34" applyNumberFormat="1" applyFont="1" applyFill="1" applyBorder="1" applyAlignment="1" applyProtection="0">
      <alignment horizontal="center" vertical="bottom" wrapText="1"/>
    </xf>
    <xf numFmtId="49" fontId="10" fillId="11" borderId="34" applyNumberFormat="1" applyFont="1" applyFill="1" applyBorder="1" applyAlignment="1" applyProtection="0">
      <alignment horizontal="center" vertical="bottom" wrapText="1"/>
    </xf>
    <xf numFmtId="0" fontId="8" fillId="11" borderId="13" applyNumberFormat="0" applyFont="1" applyFill="1" applyBorder="1" applyAlignment="1" applyProtection="0">
      <alignment horizontal="center" vertical="bottom" wrapText="1"/>
    </xf>
    <xf numFmtId="0" fontId="4" fillId="6" borderId="3" applyNumberFormat="0" applyFont="1" applyFill="1" applyBorder="1" applyAlignment="1" applyProtection="0">
      <alignment vertical="bottom" wrapText="1"/>
    </xf>
    <xf numFmtId="0" fontId="4" fillId="6" borderId="4" applyNumberFormat="0" applyFont="1" applyFill="1" applyBorder="1" applyAlignment="1" applyProtection="0">
      <alignment vertical="bottom" wrapText="1"/>
    </xf>
    <xf numFmtId="0" fontId="4" fillId="6" borderId="2" applyNumberFormat="0" applyFont="1" applyFill="1" applyBorder="1" applyAlignment="1" applyProtection="0">
      <alignment vertical="bottom" wrapText="1"/>
    </xf>
    <xf numFmtId="0" fontId="7" fillId="6" borderId="3" applyNumberFormat="0" applyFont="1" applyFill="1" applyBorder="1" applyAlignment="1" applyProtection="0">
      <alignment vertical="bottom" wrapText="1"/>
    </xf>
    <xf numFmtId="49" fontId="4" fillId="7" borderId="33" applyNumberFormat="1" applyFont="1" applyFill="1" applyBorder="1" applyAlignment="1" applyProtection="0">
      <alignment horizontal="center" vertical="bottom" wrapText="1"/>
    </xf>
    <xf numFmtId="49" fontId="8" fillId="7" borderId="33" applyNumberFormat="1" applyFont="1" applyFill="1" applyBorder="1" applyAlignment="1" applyProtection="0">
      <alignment horizontal="center" vertical="bottom" wrapText="1"/>
    </xf>
    <xf numFmtId="49" fontId="12" fillId="7" borderId="34" applyNumberFormat="1" applyFont="1" applyFill="1" applyBorder="1" applyAlignment="1" applyProtection="0">
      <alignment horizontal="center" vertical="bottom" wrapText="1"/>
    </xf>
    <xf numFmtId="49" fontId="4" fillId="7" borderId="34" applyNumberFormat="1" applyFont="1" applyFill="1" applyBorder="1" applyAlignment="1" applyProtection="0">
      <alignment horizontal="center" vertical="bottom" wrapText="1"/>
    </xf>
    <xf numFmtId="0" fontId="13" fillId="7" borderId="34" applyNumberFormat="0" applyFont="1" applyFill="1" applyBorder="1" applyAlignment="1" applyProtection="0">
      <alignment horizontal="center" vertical="bottom" wrapText="1"/>
    </xf>
    <xf numFmtId="0" fontId="8" fillId="7" borderId="13" applyNumberFormat="0" applyFont="1" applyFill="1" applyBorder="1" applyAlignment="1" applyProtection="0">
      <alignment horizontal="center" vertical="bottom" wrapText="1"/>
    </xf>
    <xf numFmtId="49" fontId="4" fillId="6" borderId="11" applyNumberFormat="1" applyFont="1" applyFill="1" applyBorder="1" applyAlignment="1" applyProtection="0">
      <alignment horizontal="center" vertical="bottom" wrapText="1"/>
    </xf>
    <xf numFmtId="49" fontId="9" fillId="10" borderId="8" applyNumberFormat="1" applyFont="1" applyFill="1" applyBorder="1" applyAlignment="1" applyProtection="0">
      <alignment horizontal="center" vertical="bottom" wrapText="1"/>
    </xf>
    <xf numFmtId="49" fontId="8" fillId="10" borderId="8" applyNumberFormat="1" applyFont="1" applyFill="1" applyBorder="1" applyAlignment="1" applyProtection="0">
      <alignment horizontal="center" vertical="bottom" wrapText="1"/>
    </xf>
    <xf numFmtId="0" fontId="8" fillId="10" borderId="8" applyNumberFormat="0" applyFont="1" applyFill="1" applyBorder="1" applyAlignment="1" applyProtection="0">
      <alignment horizontal="center" vertical="bottom" wrapText="1"/>
    </xf>
    <xf numFmtId="49" fontId="9" fillId="10" borderId="13" applyNumberFormat="1" applyFont="1" applyFill="1" applyBorder="1" applyAlignment="1" applyProtection="0">
      <alignment horizontal="center" vertical="bottom" wrapText="1"/>
    </xf>
    <xf numFmtId="49" fontId="4" fillId="10" borderId="13" applyNumberFormat="1" applyFont="1" applyFill="1" applyBorder="1" applyAlignment="1" applyProtection="0">
      <alignment horizontal="center" vertical="bottom" wrapText="1"/>
    </xf>
    <xf numFmtId="49" fontId="8" fillId="10" borderId="13" applyNumberFormat="1" applyFont="1" applyFill="1" applyBorder="1" applyAlignment="1" applyProtection="0">
      <alignment horizontal="center" vertical="bottom" wrapText="1"/>
    </xf>
    <xf numFmtId="0" fontId="8" fillId="10" borderId="13" applyNumberFormat="0" applyFont="1" applyFill="1" applyBorder="1" applyAlignment="1" applyProtection="0">
      <alignment horizontal="center" vertical="bottom" wrapText="1"/>
    </xf>
    <xf numFmtId="0" fontId="7" fillId="6" borderId="15" applyNumberFormat="1" applyFont="1" applyFill="1" applyBorder="1" applyAlignment="1" applyProtection="0">
      <alignment horizontal="center" vertical="bottom" wrapText="1"/>
    </xf>
    <xf numFmtId="0" fontId="7" fillId="6" borderId="16" applyNumberFormat="1" applyFont="1" applyFill="1" applyBorder="1" applyAlignment="1" applyProtection="0">
      <alignment horizontal="center" vertical="bottom" wrapText="1"/>
    </xf>
    <xf numFmtId="0" fontId="4" fillId="6" borderId="6" applyNumberFormat="0" applyFont="1" applyFill="1" applyBorder="1" applyAlignment="1" applyProtection="0">
      <alignment vertical="bottom" wrapText="1"/>
    </xf>
    <xf numFmtId="0" fontId="4" fillId="6" borderId="7" applyNumberFormat="0" applyFont="1" applyFill="1" applyBorder="1" applyAlignment="1" applyProtection="0">
      <alignment vertical="bottom" wrapText="1"/>
    </xf>
    <xf numFmtId="0" fontId="4" fillId="6" borderId="5" applyNumberFormat="0" applyFont="1" applyFill="1" applyBorder="1" applyAlignment="1" applyProtection="0">
      <alignment vertical="bottom" wrapText="1"/>
    </xf>
    <xf numFmtId="0" fontId="7" fillId="6" borderId="6" applyNumberFormat="0" applyFont="1" applyFill="1" applyBorder="1" applyAlignment="1" applyProtection="0">
      <alignment vertical="bottom" wrapText="1"/>
    </xf>
    <xf numFmtId="0" fontId="4" fillId="6" borderId="10" applyNumberFormat="0" applyFont="1" applyFill="1" applyBorder="1" applyAlignment="1" applyProtection="0">
      <alignment vertical="bottom" wrapText="1"/>
    </xf>
    <xf numFmtId="0" fontId="4" fillId="6" borderId="11" applyNumberFormat="0" applyFont="1" applyFill="1" applyBorder="1" applyAlignment="1" applyProtection="0">
      <alignment vertical="bottom" wrapText="1"/>
    </xf>
    <xf numFmtId="0" fontId="4" fillId="6" borderId="9" applyNumberFormat="0" applyFont="1" applyFill="1" applyBorder="1" applyAlignment="1" applyProtection="0">
      <alignment vertical="bottom" wrapText="1"/>
    </xf>
    <xf numFmtId="0" fontId="7" fillId="6" borderId="10" applyNumberFormat="0" applyFont="1" applyFill="1" applyBorder="1" applyAlignment="1" applyProtection="0">
      <alignment vertical="bottom" wrapText="1"/>
    </xf>
    <xf numFmtId="0" fontId="5" fillId="6" borderId="10" applyNumberFormat="0" applyFont="1" applyFill="1" applyBorder="1" applyAlignment="1" applyProtection="0">
      <alignment vertical="bottom" wrapText="1"/>
    </xf>
    <xf numFmtId="0" fontId="5" fillId="6" borderId="11" applyNumberFormat="0" applyFont="1" applyFill="1" applyBorder="1" applyAlignment="1" applyProtection="0">
      <alignment vertical="bottom" wrapText="1"/>
    </xf>
    <xf numFmtId="0" fontId="5" fillId="6" borderId="9" applyNumberFormat="0" applyFont="1" applyFill="1" applyBorder="1" applyAlignment="1" applyProtection="0">
      <alignment vertical="bottom" wrapText="1"/>
    </xf>
    <xf numFmtId="0" fontId="2" applyNumberFormat="1" applyFont="1" applyFill="0" applyBorder="0" applyAlignment="1" applyProtection="0">
      <alignment vertical="bottom"/>
    </xf>
    <xf numFmtId="49" fontId="7" fillId="6" borderId="9" applyNumberFormat="1" applyFont="1" applyFill="1" applyBorder="1" applyAlignment="1" applyProtection="0">
      <alignment horizontal="center" vertical="bottom" wrapText="1"/>
    </xf>
    <xf numFmtId="49" fontId="4" fillId="10" borderId="22" applyNumberFormat="1" applyFont="1" applyFill="1" applyBorder="1" applyAlignment="1" applyProtection="0">
      <alignment horizontal="center" vertical="bottom" wrapText="1"/>
    </xf>
    <xf numFmtId="49" fontId="8" fillId="8" borderId="8" applyNumberFormat="1" applyFont="1" applyFill="1" applyBorder="1" applyAlignment="1" applyProtection="0">
      <alignment horizontal="center" vertical="bottom" wrapText="1"/>
    </xf>
    <xf numFmtId="49" fontId="9" fillId="11" borderId="35" applyNumberFormat="1" applyFont="1" applyFill="1" applyBorder="1" applyAlignment="1" applyProtection="0">
      <alignment horizontal="center" vertical="bottom" wrapText="1"/>
    </xf>
    <xf numFmtId="0" fontId="4" fillId="11" borderId="35" applyNumberFormat="0" applyFont="1" applyFill="1" applyBorder="1" applyAlignment="1" applyProtection="0">
      <alignment horizontal="center" vertical="bottom" wrapText="1"/>
    </xf>
    <xf numFmtId="49" fontId="10" fillId="11" borderId="35" applyNumberFormat="1" applyFont="1" applyFill="1" applyBorder="1" applyAlignment="1" applyProtection="0">
      <alignment horizontal="center" vertical="bottom" wrapText="1"/>
    </xf>
    <xf numFmtId="0" fontId="10" fillId="11" borderId="34" applyNumberFormat="0" applyFont="1" applyFill="1" applyBorder="1" applyAlignment="1" applyProtection="0">
      <alignment horizontal="center" vertical="bottom" wrapText="1"/>
    </xf>
    <xf numFmtId="0" fontId="2" applyNumberFormat="1" applyFont="1" applyFill="0" applyBorder="0" applyAlignment="1" applyProtection="0">
      <alignment vertical="bottom"/>
    </xf>
    <xf numFmtId="49" fontId="9" fillId="8" borderId="8" applyNumberFormat="1" applyFont="1" applyFill="1" applyBorder="1" applyAlignment="1" applyProtection="0">
      <alignment horizontal="center" vertical="bottom" wrapText="1"/>
    </xf>
    <xf numFmtId="0" fontId="4" fillId="8" borderId="8" applyNumberFormat="0" applyFont="1" applyFill="1" applyBorder="1" applyAlignment="1" applyProtection="0">
      <alignment horizontal="center" vertical="bottom" wrapText="1"/>
    </xf>
    <xf numFmtId="0" fontId="8" fillId="8" borderId="8" applyNumberFormat="0" applyFont="1" applyFill="1" applyBorder="1" applyAlignment="1" applyProtection="0">
      <alignment horizontal="center" vertical="bottom" wrapText="1"/>
    </xf>
    <xf numFmtId="49" fontId="4" fillId="8" borderId="12" applyNumberFormat="1" applyFont="1" applyFill="1" applyBorder="1" applyAlignment="1" applyProtection="0">
      <alignment horizontal="center" vertical="bottom" wrapText="1"/>
    </xf>
    <xf numFmtId="49" fontId="8" fillId="8" borderId="12" applyNumberFormat="1" applyFont="1" applyFill="1" applyBorder="1" applyAlignment="1" applyProtection="0">
      <alignment horizontal="center" vertical="bottom"/>
    </xf>
    <xf numFmtId="0" fontId="8" fillId="8" borderId="12" applyNumberFormat="0" applyFont="1" applyFill="1" applyBorder="1" applyAlignment="1" applyProtection="0">
      <alignment horizontal="center" vertical="bottom"/>
    </xf>
    <xf numFmtId="49" fontId="7" fillId="6" borderId="16" applyNumberFormat="1" applyFont="1" applyFill="1" applyBorder="1" applyAlignment="1" applyProtection="0">
      <alignment horizontal="center" vertical="bottom" wrapText="1"/>
    </xf>
    <xf numFmtId="49" fontId="4" fillId="10" borderId="36" applyNumberFormat="1" applyFont="1" applyFill="1" applyBorder="1" applyAlignment="1" applyProtection="0">
      <alignment horizontal="center" vertical="bottom" wrapText="1"/>
    </xf>
    <xf numFmtId="49" fontId="4" fillId="10" borderId="37" applyNumberFormat="1" applyFont="1" applyFill="1" applyBorder="1" applyAlignment="1" applyProtection="0">
      <alignment horizontal="center" vertical="bottom" wrapText="1"/>
    </xf>
    <xf numFmtId="49" fontId="4" fillId="10" borderId="38" applyNumberFormat="1" applyFont="1" applyFill="1" applyBorder="1" applyAlignment="1" applyProtection="0">
      <alignment horizontal="center" vertical="bottom" wrapText="1"/>
    </xf>
    <xf numFmtId="49" fontId="9" fillId="10" borderId="39" applyNumberFormat="1" applyFont="1" applyFill="1" applyBorder="1" applyAlignment="1" applyProtection="0">
      <alignment horizontal="center" vertical="bottom" wrapText="1"/>
    </xf>
    <xf numFmtId="49" fontId="4" fillId="10" borderId="39" applyNumberFormat="1" applyFont="1" applyFill="1" applyBorder="1" applyAlignment="1" applyProtection="0">
      <alignment horizontal="center" vertical="bottom" wrapText="1"/>
    </xf>
    <xf numFmtId="49" fontId="8" fillId="10" borderId="39" applyNumberFormat="1" applyFont="1" applyFill="1" applyBorder="1" applyAlignment="1" applyProtection="0">
      <alignment horizontal="center" vertical="bottom" wrapText="1"/>
    </xf>
    <xf numFmtId="0" fontId="8" fillId="10" borderId="39" applyNumberFormat="0" applyFont="1" applyFill="1" applyBorder="1" applyAlignment="1" applyProtection="0">
      <alignment horizontal="center" vertical="bottom" wrapText="1"/>
    </xf>
    <xf numFmtId="49" fontId="4" fillId="10" borderId="40" applyNumberFormat="1" applyFont="1" applyFill="1" applyBorder="1" applyAlignment="1" applyProtection="0">
      <alignment horizontal="center" vertical="bottom" wrapText="1"/>
    </xf>
    <xf numFmtId="0" fontId="8" fillId="10" borderId="40" applyNumberFormat="0" applyFont="1" applyFill="1" applyBorder="1" applyAlignment="1" applyProtection="0">
      <alignment horizontal="center" vertical="bottom"/>
    </xf>
    <xf numFmtId="0" fontId="7" fillId="6" borderId="21" applyNumberFormat="1" applyFont="1" applyFill="1" applyBorder="1" applyAlignment="1" applyProtection="0">
      <alignment horizontal="center" vertical="bottom" wrapText="1"/>
    </xf>
    <xf numFmtId="49" fontId="8" fillId="10" borderId="13" applyNumberFormat="1" applyFont="1" applyFill="1" applyBorder="1" applyAlignment="1" applyProtection="0">
      <alignment horizontal="center" vertical="bottom"/>
    </xf>
    <xf numFmtId="0" fontId="8" fillId="10" borderId="13" applyNumberFormat="0" applyFont="1" applyFill="1" applyBorder="1" applyAlignment="1" applyProtection="0">
      <alignment horizontal="center" vertical="bottom"/>
    </xf>
    <xf numFmtId="0" fontId="7" fillId="3" borderId="14" applyNumberFormat="0" applyFont="1" applyFill="1" applyBorder="1" applyAlignment="1" applyProtection="0">
      <alignment horizontal="center" vertical="bottom" wrapText="1"/>
    </xf>
    <xf numFmtId="49" fontId="9" fillId="8" borderId="17" applyNumberFormat="1" applyFont="1" applyFill="1" applyBorder="1" applyAlignment="1" applyProtection="0">
      <alignment horizontal="center" vertical="bottom" wrapText="1"/>
    </xf>
    <xf numFmtId="49" fontId="4" fillId="8" borderId="17" applyNumberFormat="1" applyFont="1" applyFill="1" applyBorder="1" applyAlignment="1" applyProtection="0">
      <alignment horizontal="center" vertical="bottom" wrapText="1"/>
    </xf>
    <xf numFmtId="49" fontId="8" fillId="8" borderId="17" applyNumberFormat="1" applyFont="1" applyFill="1" applyBorder="1" applyAlignment="1" applyProtection="0">
      <alignment horizontal="center" vertical="bottom" wrapText="1"/>
    </xf>
    <xf numFmtId="0" fontId="8" fillId="8" borderId="17" applyNumberFormat="0" applyFont="1" applyFill="1" applyBorder="1" applyAlignment="1" applyProtection="0">
      <alignment horizontal="center" vertical="bottom" wrapText="1"/>
    </xf>
    <xf numFmtId="49" fontId="4" fillId="8" borderId="22" applyNumberFormat="1" applyFont="1" applyFill="1" applyBorder="1" applyAlignment="1" applyProtection="0">
      <alignment horizontal="center" vertical="bottom" wrapText="1"/>
    </xf>
    <xf numFmtId="49" fontId="8" fillId="8" borderId="22" applyNumberFormat="1" applyFont="1" applyFill="1" applyBorder="1" applyAlignment="1" applyProtection="0">
      <alignment horizontal="center" vertical="bottom"/>
    </xf>
    <xf numFmtId="0" fontId="8" fillId="8" borderId="22" applyNumberFormat="0" applyFont="1" applyFill="1" applyBorder="1" applyAlignment="1" applyProtection="0">
      <alignment horizontal="center" vertical="bottom"/>
    </xf>
    <xf numFmtId="0" fontId="7" fillId="6" borderId="31" applyNumberFormat="0" applyFont="1" applyFill="1" applyBorder="1" applyAlignment="1" applyProtection="0">
      <alignment horizontal="center" vertical="bottom" wrapText="1"/>
    </xf>
    <xf numFmtId="0" fontId="7" fillId="6" borderId="32" applyNumberFormat="0" applyFont="1" applyFill="1" applyBorder="1" applyAlignment="1" applyProtection="0">
      <alignment horizontal="center" vertical="bottom" wrapText="1"/>
    </xf>
    <xf numFmtId="0" fontId="4" fillId="10" borderId="8" applyNumberFormat="0" applyFont="1" applyFill="1" applyBorder="1" applyAlignment="1" applyProtection="0">
      <alignment horizontal="center" vertical="bottom" wrapText="1"/>
    </xf>
    <xf numFmtId="49" fontId="9" fillId="11" borderId="8" applyNumberFormat="1" applyFont="1" applyFill="1" applyBorder="1" applyAlignment="1" applyProtection="0">
      <alignment horizontal="center" vertical="bottom" wrapText="1"/>
    </xf>
    <xf numFmtId="49" fontId="4" fillId="11" borderId="8" applyNumberFormat="1" applyFont="1" applyFill="1" applyBorder="1" applyAlignment="1" applyProtection="0">
      <alignment horizontal="center" vertical="bottom" wrapText="1"/>
    </xf>
    <xf numFmtId="49" fontId="8" fillId="11" borderId="8" applyNumberFormat="1" applyFont="1" applyFill="1" applyBorder="1" applyAlignment="1" applyProtection="0">
      <alignment horizontal="center" vertical="bottom" wrapText="1"/>
    </xf>
    <xf numFmtId="0" fontId="8" fillId="11" borderId="8" applyNumberFormat="0" applyFont="1" applyFill="1" applyBorder="1" applyAlignment="1" applyProtection="0">
      <alignment horizontal="center" vertical="bottom" wrapText="1"/>
    </xf>
    <xf numFmtId="0" fontId="4" fillId="11" borderId="12" applyNumberFormat="0" applyFont="1" applyFill="1" applyBorder="1" applyAlignment="1" applyProtection="0">
      <alignment horizontal="center" vertical="bottom" wrapText="1"/>
    </xf>
    <xf numFmtId="0" fontId="4" fillId="11" borderId="13" applyNumberFormat="0" applyFont="1" applyFill="1" applyBorder="1" applyAlignment="1" applyProtection="0">
      <alignment horizontal="center" vertical="bottom" wrapText="1"/>
    </xf>
    <xf numFmtId="49" fontId="10" fillId="11" borderId="13" applyNumberFormat="1" applyFont="1" applyFill="1" applyBorder="1" applyAlignment="1" applyProtection="0">
      <alignment horizontal="center" vertical="bottom" wrapText="1"/>
    </xf>
    <xf numFmtId="0" fontId="13" fillId="7" borderId="13" applyNumberFormat="0" applyFont="1" applyFill="1" applyBorder="1" applyAlignment="1" applyProtection="0">
      <alignment horizontal="center" vertical="bottom" wrapText="1"/>
    </xf>
    <xf numFmtId="0" fontId="4" fillId="10" borderId="13" applyNumberFormat="0" applyFont="1" applyFill="1" applyBorder="1" applyAlignment="1" applyProtection="0">
      <alignment horizontal="center" vertical="bottom" wrapText="1"/>
    </xf>
    <xf numFmtId="0" fontId="2" applyNumberFormat="1" applyFont="1" applyFill="0" applyBorder="0" applyAlignment="1" applyProtection="0">
      <alignment vertical="bottom"/>
    </xf>
    <xf numFmtId="0" fontId="7" fillId="6" borderId="5" applyNumberFormat="0" applyFont="1" applyFill="1" applyBorder="1" applyAlignment="1" applyProtection="0">
      <alignment horizontal="center" vertical="bottom" wrapText="1"/>
    </xf>
    <xf numFmtId="49" fontId="7" fillId="6" borderId="6" applyNumberFormat="1" applyFont="1" applyFill="1" applyBorder="1" applyAlignment="1" applyProtection="0">
      <alignment horizontal="center" vertical="bottom" wrapText="1"/>
    </xf>
    <xf numFmtId="0" fontId="7" fillId="6" borderId="7" applyNumberFormat="0" applyFont="1" applyFill="1" applyBorder="1" applyAlignment="1" applyProtection="0">
      <alignment horizontal="center" vertical="bottom" wrapText="1"/>
    </xf>
    <xf numFmtId="49" fontId="9" fillId="7" borderId="12" applyNumberFormat="1" applyFont="1" applyFill="1" applyBorder="1" applyAlignment="1" applyProtection="0">
      <alignment horizontal="center" vertical="bottom" wrapText="1"/>
    </xf>
    <xf numFmtId="0" fontId="4" fillId="7" borderId="12" applyNumberFormat="0" applyFont="1" applyFill="1" applyBorder="1" applyAlignment="1" applyProtection="0">
      <alignment horizontal="center" vertical="bottom" wrapText="1"/>
    </xf>
    <xf numFmtId="49" fontId="4" fillId="9" borderId="13" applyNumberFormat="1" applyFont="1" applyFill="1" applyBorder="1" applyAlignment="1" applyProtection="0">
      <alignment horizontal="center" vertical="bottom" wrapText="1"/>
    </xf>
    <xf numFmtId="0" fontId="4" fillId="5" borderId="13" applyNumberFormat="0" applyFont="1" applyFill="1" applyBorder="1" applyAlignment="1" applyProtection="0">
      <alignment horizontal="center" vertical="bottom" wrapText="1"/>
    </xf>
    <xf numFmtId="0" fontId="6" fillId="9" borderId="13" applyNumberFormat="0" applyFont="1" applyFill="1" applyBorder="1" applyAlignment="1" applyProtection="0">
      <alignment horizontal="center" vertical="bottom" wrapText="1"/>
    </xf>
    <xf numFmtId="0" fontId="7" fillId="6" borderId="9" applyNumberFormat="0" applyFont="1" applyFill="1" applyBorder="1" applyAlignment="1" applyProtection="0">
      <alignment horizontal="center" vertical="bottom" wrapText="1"/>
    </xf>
    <xf numFmtId="49" fontId="4" fillId="7" borderId="1" applyNumberFormat="1" applyFont="1" applyFill="1" applyBorder="1" applyAlignment="1" applyProtection="0">
      <alignment horizontal="center" vertical="bottom" wrapText="1"/>
    </xf>
    <xf numFmtId="0" fontId="4" fillId="7" borderId="1" applyNumberFormat="0" applyFont="1" applyFill="1" applyBorder="1" applyAlignment="1" applyProtection="0">
      <alignment horizontal="center" vertical="bottom" wrapText="1"/>
    </xf>
    <xf numFmtId="0" fontId="8" fillId="7" borderId="1" applyNumberFormat="0" applyFont="1" applyFill="1" applyBorder="1" applyAlignment="1" applyProtection="0">
      <alignment horizontal="center" vertical="bottom" wrapText="1"/>
    </xf>
    <xf numFmtId="49" fontId="8" fillId="7" borderId="13" applyNumberFormat="1" applyFont="1" applyFill="1" applyBorder="1" applyAlignment="1" applyProtection="0">
      <alignment horizontal="center" vertical="bottom"/>
    </xf>
    <xf numFmtId="0" fontId="4" fillId="9" borderId="1" applyNumberFormat="0" applyFont="1" applyFill="1" applyBorder="1" applyAlignment="1" applyProtection="0">
      <alignment horizontal="center" vertical="bottom" wrapText="1"/>
    </xf>
    <xf numFmtId="0" fontId="7" fillId="6" borderId="18" applyNumberFormat="0" applyFont="1" applyFill="1" applyBorder="1" applyAlignment="1" applyProtection="0">
      <alignment horizontal="center" vertical="bottom" wrapText="1"/>
    </xf>
    <xf numFmtId="0" fontId="10" fillId="10" borderId="8" applyNumberFormat="0" applyFont="1" applyFill="1" applyBorder="1" applyAlignment="1" applyProtection="0">
      <alignment horizontal="center" vertical="bottom" wrapText="1"/>
    </xf>
    <xf numFmtId="49" fontId="9" fillId="10" borderId="33" applyNumberFormat="1" applyFont="1" applyFill="1" applyBorder="1" applyAlignment="1" applyProtection="0">
      <alignment horizontal="center" vertical="bottom" wrapText="1"/>
    </xf>
    <xf numFmtId="0" fontId="4" fillId="10" borderId="33" applyNumberFormat="0" applyFont="1" applyFill="1" applyBorder="1" applyAlignment="1" applyProtection="0">
      <alignment horizontal="center" vertical="bottom" wrapText="1"/>
    </xf>
    <xf numFmtId="49" fontId="8" fillId="10" borderId="33" applyNumberFormat="1" applyFont="1" applyFill="1" applyBorder="1" applyAlignment="1" applyProtection="0">
      <alignment horizontal="center" vertical="bottom" wrapText="1"/>
    </xf>
    <xf numFmtId="49" fontId="9" fillId="10" borderId="34" applyNumberFormat="1" applyFont="1" applyFill="1" applyBorder="1" applyAlignment="1" applyProtection="0">
      <alignment horizontal="center" vertical="bottom" wrapText="1"/>
    </xf>
    <xf numFmtId="49" fontId="4" fillId="10" borderId="34" applyNumberFormat="1" applyFont="1" applyFill="1" applyBorder="1" applyAlignment="1" applyProtection="0">
      <alignment horizontal="center" vertical="bottom" wrapText="1"/>
    </xf>
    <xf numFmtId="0" fontId="10" fillId="10" borderId="34" applyNumberFormat="0" applyFont="1" applyFill="1" applyBorder="1" applyAlignment="1" applyProtection="0">
      <alignment horizontal="center" vertical="bottom" wrapText="1"/>
    </xf>
    <xf numFmtId="0" fontId="2" applyNumberFormat="1" applyFont="1" applyFill="0" applyBorder="0" applyAlignment="1" applyProtection="0">
      <alignment vertical="bottom"/>
    </xf>
    <xf numFmtId="0" fontId="4" fillId="7" borderId="13" applyNumberFormat="0" applyFont="1" applyFill="1" applyBorder="1" applyAlignment="1" applyProtection="0">
      <alignment horizontal="center" vertical="bottom" wrapText="1"/>
    </xf>
    <xf numFmtId="49" fontId="4" fillId="12" borderId="8" applyNumberFormat="1" applyFont="1" applyFill="1" applyBorder="1" applyAlignment="1" applyProtection="0">
      <alignment horizontal="center" vertical="bottom" wrapText="1"/>
    </xf>
    <xf numFmtId="0" fontId="4" fillId="12" borderId="8" applyNumberFormat="0" applyFont="1" applyFill="1" applyBorder="1" applyAlignment="1" applyProtection="0">
      <alignment horizontal="center" vertical="bottom" wrapText="1"/>
    </xf>
    <xf numFmtId="49" fontId="8" fillId="12" borderId="8" applyNumberFormat="1" applyFont="1" applyFill="1" applyBorder="1" applyAlignment="1" applyProtection="0">
      <alignment horizontal="center" vertical="bottom"/>
    </xf>
    <xf numFmtId="0" fontId="8" fillId="12" borderId="8" applyNumberFormat="0" applyFont="1" applyFill="1" applyBorder="1" applyAlignment="1" applyProtection="0">
      <alignment horizontal="center" vertical="bottom"/>
    </xf>
    <xf numFmtId="49" fontId="9" fillId="12" borderId="13" applyNumberFormat="1" applyFont="1" applyFill="1" applyBorder="1" applyAlignment="1" applyProtection="0">
      <alignment horizontal="center" vertical="bottom" wrapText="1"/>
    </xf>
    <xf numFmtId="0" fontId="4" fillId="12" borderId="13" applyNumberFormat="0" applyFont="1" applyFill="1" applyBorder="1" applyAlignment="1" applyProtection="0">
      <alignment horizontal="center" vertical="bottom" wrapText="1"/>
    </xf>
    <xf numFmtId="49" fontId="8" fillId="12" borderId="13" applyNumberFormat="1" applyFont="1" applyFill="1" applyBorder="1" applyAlignment="1" applyProtection="0">
      <alignment horizontal="center" vertical="bottom" wrapText="1"/>
    </xf>
    <xf numFmtId="0" fontId="8" fillId="12" borderId="13" applyNumberFormat="0" applyFont="1" applyFill="1" applyBorder="1" applyAlignment="1" applyProtection="0">
      <alignment horizontal="center" vertical="bottom" wrapText="1"/>
    </xf>
    <xf numFmtId="0" fontId="4" fillId="9" borderId="13" applyNumberFormat="0" applyFont="1" applyFill="1" applyBorder="1" applyAlignment="1" applyProtection="0">
      <alignment horizontal="center" vertical="bottom" wrapText="1"/>
    </xf>
    <xf numFmtId="0" fontId="11" fillId="5" borderId="13" applyNumberFormat="0" applyFont="1" applyFill="1" applyBorder="1" applyAlignment="1" applyProtection="0">
      <alignment horizontal="center" vertical="bottom" wrapText="1"/>
    </xf>
    <xf numFmtId="49" fontId="9" fillId="12" borderId="8" applyNumberFormat="1" applyFont="1" applyFill="1" applyBorder="1" applyAlignment="1" applyProtection="0">
      <alignment horizontal="center" vertical="bottom" wrapText="1"/>
    </xf>
    <xf numFmtId="49" fontId="8" fillId="12" borderId="8" applyNumberFormat="1" applyFont="1" applyFill="1" applyBorder="1" applyAlignment="1" applyProtection="0">
      <alignment horizontal="center" vertical="bottom" wrapText="1"/>
    </xf>
    <xf numFmtId="0" fontId="8" fillId="12" borderId="8" applyNumberFormat="0" applyFont="1" applyFill="1" applyBorder="1" applyAlignment="1" applyProtection="0">
      <alignment horizontal="center" vertical="bottom" wrapText="1"/>
    </xf>
    <xf numFmtId="0" fontId="2" applyNumberFormat="1" applyFont="1" applyFill="0" applyBorder="0" applyAlignment="1" applyProtection="0">
      <alignment vertical="bottom"/>
    </xf>
    <xf numFmtId="49" fontId="6" fillId="9" borderId="1" applyNumberFormat="1" applyFont="1" applyFill="1" applyBorder="1" applyAlignment="1" applyProtection="0">
      <alignment horizontal="center" vertical="bottom" wrapText="1"/>
    </xf>
    <xf numFmtId="49" fontId="11" fillId="5" borderId="1" applyNumberFormat="1" applyFont="1" applyFill="1" applyBorder="1" applyAlignment="1" applyProtection="0">
      <alignment horizontal="center" vertical="bottom" wrapText="1"/>
    </xf>
    <xf numFmtId="49" fontId="9" fillId="12" borderId="12" applyNumberFormat="1" applyFont="1" applyFill="1" applyBorder="1" applyAlignment="1" applyProtection="0">
      <alignment horizontal="center" vertical="bottom" wrapText="1"/>
    </xf>
    <xf numFmtId="0" fontId="4" fillId="12" borderId="12" applyNumberFormat="0" applyFont="1" applyFill="1" applyBorder="1" applyAlignment="1" applyProtection="0">
      <alignment horizontal="center" vertical="bottom" wrapText="1"/>
    </xf>
    <xf numFmtId="0" fontId="8" fillId="12" borderId="12" applyNumberFormat="0" applyFont="1" applyFill="1" applyBorder="1" applyAlignment="1" applyProtection="0">
      <alignment horizontal="center" vertical="bottom" wrapText="1"/>
    </xf>
    <xf numFmtId="0" fontId="2" applyNumberFormat="1" applyFont="1" applyFill="0" applyBorder="0" applyAlignment="1" applyProtection="0">
      <alignment vertical="bottom"/>
    </xf>
    <xf numFmtId="0" fontId="4" fillId="6" borderId="15" applyNumberFormat="0" applyFont="1" applyFill="1" applyBorder="1" applyAlignment="1" applyProtection="0">
      <alignment vertical="bottom" wrapText="1"/>
    </xf>
    <xf numFmtId="0" fontId="4" fillId="6" borderId="16" applyNumberFormat="0" applyFont="1" applyFill="1" applyBorder="1" applyAlignment="1" applyProtection="0">
      <alignment vertical="bottom" wrapText="1"/>
    </xf>
    <xf numFmtId="0" fontId="4" fillId="6" borderId="14" applyNumberFormat="0" applyFont="1" applyFill="1" applyBorder="1" applyAlignment="1" applyProtection="0">
      <alignment vertical="bottom" wrapText="1"/>
    </xf>
    <xf numFmtId="0" fontId="4" fillId="7" borderId="8" applyNumberFormat="0" applyFont="1" applyFill="1" applyBorder="1" applyAlignment="1" applyProtection="0">
      <alignment horizontal="center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3f3f3"/>
      <rgbColor rgb="ffebebeb"/>
      <rgbColor rgb="ffaaaaaa"/>
      <rgbColor rgb="ffbdc0bf"/>
      <rgbColor rgb="ff0097a7"/>
      <rgbColor rgb="ffc9daf8"/>
      <rgbColor rgb="ffffffff"/>
      <rgbColor rgb="fffff2d5"/>
      <rgbColor rgb="ff6d9eeb"/>
      <rgbColor rgb="ffffe2d6"/>
      <rgbColor rgb="ffd3e2ff"/>
      <rgbColor rgb="ffdfeed4"/>
      <rgbColor rgb="ff919191"/>
      <rgbColor rgb="ffd9c9fe"/>
      <rgbColor rgb="ffffc5a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3HcqUibHeDY?feature=shared" TargetMode="External"/><Relationship Id="rId2" Type="http://schemas.openxmlformats.org/officeDocument/2006/relationships/hyperlink" Target="https://youtu.be/NlOHgnm2_7k?feature=shared" TargetMode="External"/><Relationship Id="rId3" Type="http://schemas.openxmlformats.org/officeDocument/2006/relationships/hyperlink" Target="https://youtu.be/OQmvPy6vxsI" TargetMode="External"/><Relationship Id="rId4" Type="http://schemas.openxmlformats.org/officeDocument/2006/relationships/hyperlink" Target="https://youtu.be/43ocO6utXHM?si=-cr7XLyMrOiLp2Gw&amp;t=28" TargetMode="External"/><Relationship Id="rId5" Type="http://schemas.openxmlformats.org/officeDocument/2006/relationships/hyperlink" Target="https://youtu.be/s-S2Pzkh3O8?si=4FUwPhlp7jNQuRjV" TargetMode="External"/><Relationship Id="rId6" Type="http://schemas.openxmlformats.org/officeDocument/2006/relationships/hyperlink" Target="https://images.app.goo.gl/4j11e3rmDRTiuAVA6" TargetMode="External"/><Relationship Id="rId7" Type="http://schemas.openxmlformats.org/officeDocument/2006/relationships/hyperlink" Target="https://youtu.be/H3Bhn2NFVUo?si=-A2MMjm9e3CaCFXf&amp;t=6" TargetMode="External"/><Relationship Id="rId8" Type="http://schemas.openxmlformats.org/officeDocument/2006/relationships/hyperlink" Target="https://youtu.be/nLgeqEtm49M?si=tDV2S3MsMwd5Y_3z" TargetMode="External"/><Relationship Id="rId9" Type="http://schemas.openxmlformats.org/officeDocument/2006/relationships/hyperlink" Target="https://youtu.be/RB1IRYrfCwY?si=V2ybzkAxNMhGEbvL&amp;t=16" TargetMode="External"/><Relationship Id="rId10" Type="http://schemas.openxmlformats.org/officeDocument/2006/relationships/hyperlink" Target="https://images.app.goo.gl/3d8HBxwGzSgfJH5J8" TargetMode="External"/><Relationship Id="rId11" Type="http://schemas.openxmlformats.org/officeDocument/2006/relationships/hyperlink" Target="https://images.app.goo.gl/S7nrwgbq181eLe3S9" TargetMode="External"/><Relationship Id="rId12" Type="http://schemas.openxmlformats.org/officeDocument/2006/relationships/hyperlink" Target="https://images.app.goo.gl/Sajwsgk4w8xmSoje6" TargetMode="External"/><Relationship Id="rId13" Type="http://schemas.openxmlformats.org/officeDocument/2006/relationships/hyperlink" Target="https://youtu.be/3HcqUibHeDY?feature=shared" TargetMode="External"/><Relationship Id="rId14" Type="http://schemas.openxmlformats.org/officeDocument/2006/relationships/hyperlink" Target="https://youtu.be/NlOHgnm2_7k?feature=shared" TargetMode="External"/><Relationship Id="rId15" Type="http://schemas.openxmlformats.org/officeDocument/2006/relationships/hyperlink" Target="https://youtu.be/bL1hLVbN3wE" TargetMode="External"/><Relationship Id="rId16" Type="http://schemas.openxmlformats.org/officeDocument/2006/relationships/hyperlink" Target="https://youtu.be/OQmvPy6vxsI" TargetMode="External"/><Relationship Id="rId17" Type="http://schemas.openxmlformats.org/officeDocument/2006/relationships/hyperlink" Target="https://youtu.be/43ocO6utXHM?si=-cr7XLyMrOiLp2Gw&amp;t=28" TargetMode="External"/><Relationship Id="rId18" Type="http://schemas.openxmlformats.org/officeDocument/2006/relationships/hyperlink" Target="https://youtu.be/Cbttje11l5w?si=_ug-tgRTuk7_Jc6_" TargetMode="External"/><Relationship Id="rId19" Type="http://schemas.openxmlformats.org/officeDocument/2006/relationships/hyperlink" Target="https://images.app.goo.gl/ZB1UXhSA89s2qsrn6" TargetMode="External"/><Relationship Id="rId20" Type="http://schemas.openxmlformats.org/officeDocument/2006/relationships/hyperlink" Target="https://youtu.be/6-Wo0DTfVjw?si=RWCSfAsbGk9TWg-g" TargetMode="External"/><Relationship Id="rId21" Type="http://schemas.openxmlformats.org/officeDocument/2006/relationships/hyperlink" Target="https://youtu.be/5JPgwBlTmVg?si=ebRrdv-VqJRgZq8A" TargetMode="External"/><Relationship Id="rId22" Type="http://schemas.openxmlformats.org/officeDocument/2006/relationships/hyperlink" Target="https://youtube.com/shorts/b2_NIldP-yg?feature=share" TargetMode="External"/><Relationship Id="rId23" Type="http://schemas.openxmlformats.org/officeDocument/2006/relationships/hyperlink" Target="https://share.google/images/PQXtXmG5dSnqVysZ3" TargetMode="External"/><Relationship Id="rId24" Type="http://schemas.openxmlformats.org/officeDocument/2006/relationships/hyperlink" Target="https://youtu.be/3HcqUibHeDY?feature=shared" TargetMode="External"/><Relationship Id="rId25" Type="http://schemas.openxmlformats.org/officeDocument/2006/relationships/hyperlink" Target="https://youtu.be/NlOHgnm2_7k?feature=shared" TargetMode="External"/><Relationship Id="rId26" Type="http://schemas.openxmlformats.org/officeDocument/2006/relationships/hyperlink" Target="https://youtu.be/bL1hLVbN3wE" TargetMode="External"/><Relationship Id="rId27" Type="http://schemas.openxmlformats.org/officeDocument/2006/relationships/hyperlink" Target="https://youtu.be/wn-LE0wmNg8?si=JI9-TCcIDtGPHiA3" TargetMode="External"/><Relationship Id="rId28" Type="http://schemas.openxmlformats.org/officeDocument/2006/relationships/hyperlink" Target="https://images.app.goo.gl/3d8HBxwGzSgfJH5J8" TargetMode="External"/><Relationship Id="rId29" Type="http://schemas.openxmlformats.org/officeDocument/2006/relationships/hyperlink" Target="https://youtu.be/AduT4Eq-iP0?si=DlldxzsWVvxqa6eu" TargetMode="External"/><Relationship Id="rId30" Type="http://schemas.openxmlformats.org/officeDocument/2006/relationships/hyperlink" Target="https://images.app.goo.gl/WmjyeDvLKhKjDfgQA" TargetMode="External"/><Relationship Id="rId31" Type="http://schemas.openxmlformats.org/officeDocument/2006/relationships/hyperlink" Target="https://youtu.be/dE3cDj_sq0g?si=-6M4g5LB8RkguEp9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.be/3HcqUibHeDY?feature=shared" TargetMode="External"/><Relationship Id="rId2" Type="http://schemas.openxmlformats.org/officeDocument/2006/relationships/hyperlink" Target="https://youtu.be/NlOHgnm2_7k?feature=shared" TargetMode="External"/><Relationship Id="rId3" Type="http://schemas.openxmlformats.org/officeDocument/2006/relationships/hyperlink" Target="https://youtu.be/OQmvPy6vxsI" TargetMode="External"/><Relationship Id="rId4" Type="http://schemas.openxmlformats.org/officeDocument/2006/relationships/hyperlink" Target="https://youtu.be/43ocO6utXHM?si=-cr7XLyMrOiLp2Gw&amp;t=28" TargetMode="External"/><Relationship Id="rId5" Type="http://schemas.openxmlformats.org/officeDocument/2006/relationships/hyperlink" Target="https://youtu.be/F9KA-ax-v60?si=wNXadL2rWrRjfzH8&amp;t=45" TargetMode="External"/><Relationship Id="rId6" Type="http://schemas.openxmlformats.org/officeDocument/2006/relationships/hyperlink" Target="https://youtu.be/eZoAEzMNYWU?si=gH_KjC7PF2v_Nh_1" TargetMode="External"/><Relationship Id="rId7" Type="http://schemas.openxmlformats.org/officeDocument/2006/relationships/hyperlink" Target="https://youtu.be/H3Bhn2NFVUo?si=-A2MMjm9e3CaCFXf&amp;t=6" TargetMode="External"/><Relationship Id="rId8" Type="http://schemas.openxmlformats.org/officeDocument/2006/relationships/hyperlink" Target="https://youtu.be/RB1IRYrfCwY?si=V2ybzkAxNMhGEbvL&amp;t=16" TargetMode="External"/><Relationship Id="rId9" Type="http://schemas.openxmlformats.org/officeDocument/2006/relationships/hyperlink" Target="https://youtu.be/nLgeqEtm49M?si=tDV2S3MsMwd5Y_3z" TargetMode="External"/><Relationship Id="rId10" Type="http://schemas.openxmlformats.org/officeDocument/2006/relationships/hyperlink" Target="https://images.app.goo.gl/2GGMrUoc6gvUFaW2A" TargetMode="External"/><Relationship Id="rId11" Type="http://schemas.openxmlformats.org/officeDocument/2006/relationships/hyperlink" Target="https://youtu.be/pjMIVmUpK9E?si=Dbm_bB-dFXfGGfEn" TargetMode="External"/><Relationship Id="rId12" Type="http://schemas.openxmlformats.org/officeDocument/2006/relationships/hyperlink" Target="https://images.app.goo.gl/Sajwsgk4w8xmSoje6" TargetMode="External"/><Relationship Id="rId13" Type="http://schemas.openxmlformats.org/officeDocument/2006/relationships/hyperlink" Target="https://youtu.be/3HcqUibHeDY?feature=shared" TargetMode="External"/><Relationship Id="rId14" Type="http://schemas.openxmlformats.org/officeDocument/2006/relationships/hyperlink" Target="https://youtu.be/NlOHgnm2_7k?feature=shared" TargetMode="External"/><Relationship Id="rId15" Type="http://schemas.openxmlformats.org/officeDocument/2006/relationships/hyperlink" Target="https://youtu.be/bL1hLVbN3wE" TargetMode="External"/><Relationship Id="rId16" Type="http://schemas.openxmlformats.org/officeDocument/2006/relationships/hyperlink" Target="https://youtu.be/OQmvPy6vxsI" TargetMode="External"/><Relationship Id="rId17" Type="http://schemas.openxmlformats.org/officeDocument/2006/relationships/hyperlink" Target="https://youtu.be/43ocO6utXHM?si=-cr7XLyMrOiLp2Gw&amp;t=28" TargetMode="External"/><Relationship Id="rId18" Type="http://schemas.openxmlformats.org/officeDocument/2006/relationships/hyperlink" Target="https://youtu.be/nLgeqEtm49M?si=tDV2S3MsMwd5Y_3z" TargetMode="External"/><Relationship Id="rId19" Type="http://schemas.openxmlformats.org/officeDocument/2006/relationships/hyperlink" Target="https://youtu.be/MNMYhYijT-c?si=N4ZccbIuqbVi25gv&amp;t=27" TargetMode="External"/><Relationship Id="rId20" Type="http://schemas.openxmlformats.org/officeDocument/2006/relationships/hyperlink" Target="https://youtu.be/6-Wo0DTfVjw?si=RWCSfAsbGk9TWg-g" TargetMode="External"/><Relationship Id="rId21" Type="http://schemas.openxmlformats.org/officeDocument/2006/relationships/hyperlink" Target="https://images.app.goo.gl/9GL5fUKT1eJ6SeMZ8" TargetMode="External"/><Relationship Id="rId22" Type="http://schemas.openxmlformats.org/officeDocument/2006/relationships/hyperlink" Target="https://youtube.com/shorts/b2_NIldP-yg?feature=share" TargetMode="External"/><Relationship Id="rId23" Type="http://schemas.openxmlformats.org/officeDocument/2006/relationships/hyperlink" Target="https://youtu.be/Zv71BjaiEfo?si=Bs_wUbZaAJBhYzlr" TargetMode="External"/><Relationship Id="rId24" Type="http://schemas.openxmlformats.org/officeDocument/2006/relationships/hyperlink" Target="https://youtu.be/3HcqUibHeDY?feature=shared" TargetMode="External"/><Relationship Id="rId25" Type="http://schemas.openxmlformats.org/officeDocument/2006/relationships/hyperlink" Target="https://youtu.be/NlOHgnm2_7k?feature=shared" TargetMode="External"/><Relationship Id="rId26" Type="http://schemas.openxmlformats.org/officeDocument/2006/relationships/hyperlink" Target="https://youtu.be/bL1hLVbN3wE" TargetMode="External"/><Relationship Id="rId27" Type="http://schemas.openxmlformats.org/officeDocument/2006/relationships/hyperlink" Target="https://youtu.be/wn-LE0wmNg8?si=JI9-TCcIDtGPHiA3" TargetMode="External"/><Relationship Id="rId28" Type="http://schemas.openxmlformats.org/officeDocument/2006/relationships/hyperlink" Target="https://youtu.be/4ukWwI7UDhM?si=yWfMhLdC1q1OLQgr" TargetMode="External"/><Relationship Id="rId29" Type="http://schemas.openxmlformats.org/officeDocument/2006/relationships/hyperlink" Target="https://youtu.be/AduT4Eq-iP0?si=DlldxzsWVvxqa6eu" TargetMode="External"/><Relationship Id="rId30" Type="http://schemas.openxmlformats.org/officeDocument/2006/relationships/hyperlink" Target="https://youtu.be/Zp26q4BY5HE?si=_rb7HKxprlAGrGIj" TargetMode="External"/><Relationship Id="rId31" Type="http://schemas.openxmlformats.org/officeDocument/2006/relationships/hyperlink" Target="https://youtu.be/dE3cDj_sq0g?si=-6M4g5LB8RkguEp9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youtu.be/3HcqUibHeDY?feature=shared" TargetMode="External"/><Relationship Id="rId2" Type="http://schemas.openxmlformats.org/officeDocument/2006/relationships/hyperlink" Target="https://youtu.be/NlOHgnm2_7k?feature=shared" TargetMode="External"/><Relationship Id="rId3" Type="http://schemas.openxmlformats.org/officeDocument/2006/relationships/hyperlink" Target="https://youtu.be/OQmvPy6vxsI" TargetMode="External"/><Relationship Id="rId4" Type="http://schemas.openxmlformats.org/officeDocument/2006/relationships/hyperlink" Target="https://youtu.be/43ocO6utXHM?si=-cr7XLyMrOiLp2Gw&amp;t=28" TargetMode="External"/><Relationship Id="rId5" Type="http://schemas.openxmlformats.org/officeDocument/2006/relationships/hyperlink" Target="https://youtu.be/CyVXiCQ6V2I?si=YearxyWkrZ0dP9W2&amp;t=48" TargetMode="External"/><Relationship Id="rId6" Type="http://schemas.openxmlformats.org/officeDocument/2006/relationships/hyperlink" Target="https://youtu.be/zmKchUIoMV4?si=HbYnC7T3_DQurNxC" TargetMode="External"/><Relationship Id="rId7" Type="http://schemas.openxmlformats.org/officeDocument/2006/relationships/hyperlink" Target="https://youtu.be/OTgXSAeRIfw?si=4oyP3h4hstB8JRSy" TargetMode="External"/><Relationship Id="rId8" Type="http://schemas.openxmlformats.org/officeDocument/2006/relationships/hyperlink" Target="https://youtu.be/oZzFC9hODuQ?si=YST7zvrI7NebVTbb" TargetMode="External"/><Relationship Id="rId9" Type="http://schemas.openxmlformats.org/officeDocument/2006/relationships/hyperlink" Target="https://youtu.be/yKFwTtyaljM?si=TbK9RjWJx-Xim32q" TargetMode="External"/><Relationship Id="rId10" Type="http://schemas.openxmlformats.org/officeDocument/2006/relationships/hyperlink" Target="https://youtu.be/Sz5VbiMMApI?si=jKCMisLH2TsSe6U_" TargetMode="External"/><Relationship Id="rId11" Type="http://schemas.openxmlformats.org/officeDocument/2006/relationships/hyperlink" Target="https://youtu.be/GvfFf4xDNqM?si=-OWJ5w-Ogaj4qz87" TargetMode="External"/><Relationship Id="rId12" Type="http://schemas.openxmlformats.org/officeDocument/2006/relationships/hyperlink" Target="https://youtu.be/3HcqUibHeDY?feature=shared" TargetMode="External"/><Relationship Id="rId13" Type="http://schemas.openxmlformats.org/officeDocument/2006/relationships/hyperlink" Target="https://youtu.be/NlOHgnm2_7k?feature=shared" TargetMode="External"/><Relationship Id="rId14" Type="http://schemas.openxmlformats.org/officeDocument/2006/relationships/hyperlink" Target="https://youtu.be/bL1hLVbN3wE" TargetMode="External"/><Relationship Id="rId15" Type="http://schemas.openxmlformats.org/officeDocument/2006/relationships/hyperlink" Target="https://youtu.be/OQmvPy6vxsI" TargetMode="External"/><Relationship Id="rId16" Type="http://schemas.openxmlformats.org/officeDocument/2006/relationships/hyperlink" Target="https://youtu.be/43ocO6utXHM?si=-cr7XLyMrOiLp2Gw&amp;t=28" TargetMode="External"/><Relationship Id="rId17" Type="http://schemas.openxmlformats.org/officeDocument/2006/relationships/hyperlink" Target="https://images.app.goo.gl/rHB2bU4fR8xXZDsaA" TargetMode="External"/><Relationship Id="rId18" Type="http://schemas.openxmlformats.org/officeDocument/2006/relationships/hyperlink" Target="https://youtu.be/SwUcD4DMKsk?si=TeDb9_ZqO11tVHKf" TargetMode="External"/><Relationship Id="rId19" Type="http://schemas.openxmlformats.org/officeDocument/2006/relationships/hyperlink" Target="https://youtu.be/yByUFuQsgCg?si=FCBo6YQ_3hLorqYl&amp;t=45" TargetMode="External"/><Relationship Id="rId20" Type="http://schemas.openxmlformats.org/officeDocument/2006/relationships/hyperlink" Target="https://youtube.com/shorts/676H3w_4V4U?si=CqJ89Bu27QU9404y" TargetMode="External"/><Relationship Id="rId21" Type="http://schemas.openxmlformats.org/officeDocument/2006/relationships/hyperlink" Target="https://youtube.com/shorts/-j1yfbOiINY?si=JMxKidxgTFZuigrb" TargetMode="External"/><Relationship Id="rId22" Type="http://schemas.openxmlformats.org/officeDocument/2006/relationships/hyperlink" Target="https://youtu.be/9fItzuh9Iok?si=phY1KyeoF9E5nUnv&amp;t=19" TargetMode="External"/><Relationship Id="rId23" Type="http://schemas.openxmlformats.org/officeDocument/2006/relationships/hyperlink" Target="https://youtu.be/pEEzExfAvrI?si=0WO5d2aEdRYj4QON" TargetMode="External"/><Relationship Id="rId24" Type="http://schemas.openxmlformats.org/officeDocument/2006/relationships/hyperlink" Target="https://youtube.com/shorts/vI4kpwXIcZ8?si=zDG2vylRJ7Gq7MnB" TargetMode="External"/><Relationship Id="rId25" Type="http://schemas.openxmlformats.org/officeDocument/2006/relationships/hyperlink" Target="https://youtu.be/3HcqUibHeDY?feature=shared" TargetMode="External"/><Relationship Id="rId26" Type="http://schemas.openxmlformats.org/officeDocument/2006/relationships/hyperlink" Target="https://youtu.be/NlOHgnm2_7k?feature=shared" TargetMode="External"/><Relationship Id="rId27" Type="http://schemas.openxmlformats.org/officeDocument/2006/relationships/hyperlink" Target="https://youtu.be/bL1hLVbN3wE" TargetMode="External"/><Relationship Id="rId28" Type="http://schemas.openxmlformats.org/officeDocument/2006/relationships/hyperlink" Target="https://youtu.be/wn-LE0wmNg8?si=JI9-TCcIDtGPHiA3" TargetMode="External"/><Relationship Id="rId29" Type="http://schemas.openxmlformats.org/officeDocument/2006/relationships/hyperlink" Target="https://youtu.be/4ukWwI7UDhM?si=yWfMhLdC1q1OLQgr" TargetMode="External"/><Relationship Id="rId30" Type="http://schemas.openxmlformats.org/officeDocument/2006/relationships/hyperlink" Target="https://youtu.be/AduT4Eq-iP0?si=DlldxzsWVvxqa6eu" TargetMode="External"/><Relationship Id="rId31" Type="http://schemas.openxmlformats.org/officeDocument/2006/relationships/hyperlink" Target="https://youtu.be/Zp26q4BY5HE?si=_rb7HKxprlAGrGIj" TargetMode="External"/><Relationship Id="rId32" Type="http://schemas.openxmlformats.org/officeDocument/2006/relationships/hyperlink" Target="https://youtu.be/dE3cDj_sq0g?si=-6M4g5LB8RkguEp9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youtu.be/3HcqUibHeDY?feature=shared" TargetMode="External"/><Relationship Id="rId2" Type="http://schemas.openxmlformats.org/officeDocument/2006/relationships/hyperlink" Target="https://youtu.be/NlOHgnm2_7k?feature=shared" TargetMode="External"/><Relationship Id="rId3" Type="http://schemas.openxmlformats.org/officeDocument/2006/relationships/hyperlink" Target="https://youtu.be/zmKchUIoMV4?si=HbYnC7T3_DQurNxC" TargetMode="External"/><Relationship Id="rId4" Type="http://schemas.openxmlformats.org/officeDocument/2006/relationships/hyperlink" Target="https://youtu.be/CyVXiCQ6V2I?si=YearxyWkrZ0dP9W2&amp;t=48" TargetMode="External"/><Relationship Id="rId5" Type="http://schemas.openxmlformats.org/officeDocument/2006/relationships/hyperlink" Target="https://youtu.be/RB1IRYrfCwY?si=V2ybzkAxNMhGEbvL&amp;t=16" TargetMode="External"/><Relationship Id="rId6" Type="http://schemas.openxmlformats.org/officeDocument/2006/relationships/hyperlink" Target="https://youtu.be/rMEPHwNhQfo?si=YkWTXEc0vX8fca71" TargetMode="External"/><Relationship Id="rId7" Type="http://schemas.openxmlformats.org/officeDocument/2006/relationships/hyperlink" Target="https://youtu.be/YZUdVyVV3uI?si=emMZi1zRXS6S_zEs" TargetMode="External"/><Relationship Id="rId8" Type="http://schemas.openxmlformats.org/officeDocument/2006/relationships/hyperlink" Target="https://youtu.be/3HcqUibHeDY?feature=shared" TargetMode="External"/><Relationship Id="rId9" Type="http://schemas.openxmlformats.org/officeDocument/2006/relationships/hyperlink" Target="https://youtu.be/NlOHgnm2_7k?feature=shared" TargetMode="External"/><Relationship Id="rId10" Type="http://schemas.openxmlformats.org/officeDocument/2006/relationships/hyperlink" Target="https://youtu.be/yByUFuQsgCg?si=FCBo6YQ_3hLorqYl&amp;t=45" TargetMode="External"/><Relationship Id="rId11" Type="http://schemas.openxmlformats.org/officeDocument/2006/relationships/hyperlink" Target="https://youtu.be/43ocO6utXHM?si=-cr7XLyMrOiLp2Gw&amp;t=28" TargetMode="External"/><Relationship Id="rId12" Type="http://schemas.openxmlformats.org/officeDocument/2006/relationships/hyperlink" Target="https://youtu.be/yByUFuQsgCg?si=FCBo6YQ_3hLorqYl&amp;t=45" TargetMode="External"/><Relationship Id="rId13" Type="http://schemas.openxmlformats.org/officeDocument/2006/relationships/hyperlink" Target="https://youtube.com/shorts/0PSfteHhUtg?si=xkEyyK8Szdb_Q2Ls" TargetMode="External"/><Relationship Id="rId14" Type="http://schemas.openxmlformats.org/officeDocument/2006/relationships/hyperlink" Target="https://youtu.be/GvfFf4xDNqM?si=lpfTubdlbf7ohalH" TargetMode="External"/><Relationship Id="rId15" Type="http://schemas.openxmlformats.org/officeDocument/2006/relationships/hyperlink" Target="https://youtu.be/rMEPHwNhQfo?si=YkWTXEc0vX8fca71" TargetMode="External"/><Relationship Id="rId16" Type="http://schemas.openxmlformats.org/officeDocument/2006/relationships/hyperlink" Target="https://images.app.goo.gl/WmjyeDvLKhKjDfgQA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youtu.be/3HcqUibHeDY?feature=shared" TargetMode="External"/><Relationship Id="rId2" Type="http://schemas.openxmlformats.org/officeDocument/2006/relationships/hyperlink" Target="https://youtu.be/NlOHgnm2_7k?feature=shared" TargetMode="External"/><Relationship Id="rId3" Type="http://schemas.openxmlformats.org/officeDocument/2006/relationships/hyperlink" Target="https://youtu.be/RB1IRYrfCwY?si=V2ybzkAxNMhGEbvL&amp;t=16" TargetMode="External"/><Relationship Id="rId4" Type="http://schemas.openxmlformats.org/officeDocument/2006/relationships/hyperlink" Target="https://youtu.be/rMEPHwNhQfo?si=YkWTXEc0vX8fca71" TargetMode="External"/><Relationship Id="rId5" Type="http://schemas.openxmlformats.org/officeDocument/2006/relationships/hyperlink" Target="https://youtu.be/YZUdVyVV3uI?si=emMZi1zRXS6S_zEs" TargetMode="External"/><Relationship Id="rId6" Type="http://schemas.openxmlformats.org/officeDocument/2006/relationships/hyperlink" Target="https://youtu.be/8zBEGGbArj8?si=LYtD-KFWlsSYc_fI" TargetMode="External"/><Relationship Id="rId7" Type="http://schemas.openxmlformats.org/officeDocument/2006/relationships/hyperlink" Target="https://youtu.be/RPUvFU3ZuBg?si=ObLgk5j1DfhYDzDW" TargetMode="External"/><Relationship Id="rId8" Type="http://schemas.openxmlformats.org/officeDocument/2006/relationships/hyperlink" Target="https://youtu.be/3HcqUibHeDY?feature=shared" TargetMode="External"/><Relationship Id="rId9" Type="http://schemas.openxmlformats.org/officeDocument/2006/relationships/hyperlink" Target="https://youtu.be/NlOHgnm2_7k?feature=shared" TargetMode="External"/><Relationship Id="rId10" Type="http://schemas.openxmlformats.org/officeDocument/2006/relationships/hyperlink" Target="https://youtu.be/CyVXiCQ6V2I?si=YearxyWkrZ0dP9W2&amp;t=48" TargetMode="External"/><Relationship Id="rId11" Type="http://schemas.openxmlformats.org/officeDocument/2006/relationships/hyperlink" Target="https://youtu.be/GvfFf4xDNqM?si=lpfTubdlbf7ohalH" TargetMode="External"/><Relationship Id="rId12" Type="http://schemas.openxmlformats.org/officeDocument/2006/relationships/hyperlink" Target="https://youtu.be/JkacHtlPYds?si=i0ZStjSJx-Abhwte" TargetMode="External"/><Relationship Id="rId13" Type="http://schemas.openxmlformats.org/officeDocument/2006/relationships/hyperlink" Target="https://youtu.be/rMEPHwNhQfo?si=YkWTXEc0vX8fca71" TargetMode="External"/><Relationship Id="rId14" Type="http://schemas.openxmlformats.org/officeDocument/2006/relationships/hyperlink" Target="https://images.app.goo.gl/WmjyeDvLKhKjDfgQA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youtu.be/rMEPHwNhQfo?si=YkWTXEc0vX8fca71" TargetMode="External"/><Relationship Id="rId2" Type="http://schemas.openxmlformats.org/officeDocument/2006/relationships/hyperlink" Target="https://youtu.be/YZUdVyVV3uI?si=emMZi1zRXS6S_zEs" TargetMode="External"/><Relationship Id="rId3" Type="http://schemas.openxmlformats.org/officeDocument/2006/relationships/hyperlink" Target="https://youtu.be/YZUdVyVV3uI?si=emMZi1zRXS6S_zEs" TargetMode="External"/><Relationship Id="rId4" Type="http://schemas.openxmlformats.org/officeDocument/2006/relationships/hyperlink" Target="https://youtu.be/rMEPHwNhQfo?si=YkWTXEc0vX8fca71" TargetMode="External"/><Relationship Id="rId5" Type="http://schemas.openxmlformats.org/officeDocument/2006/relationships/hyperlink" Target="https://images.app.goo.gl/WmjyeDvLKhKjDfgQA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youtu.be/3HcqUibHeDY?feature=shared" TargetMode="External"/><Relationship Id="rId2" Type="http://schemas.openxmlformats.org/officeDocument/2006/relationships/hyperlink" Target="https://youtu.be/NlOHgnm2_7k?feature=shared" TargetMode="External"/><Relationship Id="rId3" Type="http://schemas.openxmlformats.org/officeDocument/2006/relationships/hyperlink" Target="https://youtu.be/CyVXiCQ6V2I?si=YearxyWkrZ0dP9W2&amp;t=48" TargetMode="External"/><Relationship Id="rId4" Type="http://schemas.openxmlformats.org/officeDocument/2006/relationships/hyperlink" Target="https://youtu.be/YZUdVyVV3uI?si=emMZi1zRXS6S_zEs" TargetMode="External"/><Relationship Id="rId5" Type="http://schemas.openxmlformats.org/officeDocument/2006/relationships/hyperlink" Target="https://youtu.be/JkacHtlPYds?si=i0ZStjSJx-Abhwte" TargetMode="External"/><Relationship Id="rId6" Type="http://schemas.openxmlformats.org/officeDocument/2006/relationships/hyperlink" Target="https://youtu.be/3HcqUibHeDY?feature=shared" TargetMode="External"/><Relationship Id="rId7" Type="http://schemas.openxmlformats.org/officeDocument/2006/relationships/hyperlink" Target="https://youtu.be/NlOHgnm2_7k?feature=shared" TargetMode="External"/><Relationship Id="rId8" Type="http://schemas.openxmlformats.org/officeDocument/2006/relationships/hyperlink" Target="https://youtube.com/shorts/fZy2R47LWaM?si=xO5XQjMuzzUoCwwE" TargetMode="External"/><Relationship Id="rId9" Type="http://schemas.openxmlformats.org/officeDocument/2006/relationships/hyperlink" Target="https://youtu.be/CkO1mfSBvv4?si=fHWEPpg5Yf6MVZo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775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1" customWidth="1"/>
    <col min="2" max="2" width="21.8516" style="1" customWidth="1"/>
    <col min="3" max="4" width="12.6719" style="1" customWidth="1"/>
    <col min="5" max="5" width="13.3125" style="1" customWidth="1"/>
    <col min="6" max="6" width="18.1797" style="1" customWidth="1"/>
    <col min="7" max="8" width="14.7031" style="1" customWidth="1"/>
    <col min="9" max="9" width="19.9141" style="1" customWidth="1"/>
    <col min="10" max="10" width="16.0625" style="1" customWidth="1"/>
    <col min="11" max="11" width="16.4531" style="1" customWidth="1"/>
    <col min="12" max="12" width="16.3281" style="1" customWidth="1"/>
    <col min="13" max="13" width="22.3516" style="1" customWidth="1"/>
    <col min="14" max="14" width="20.8516" style="1" customWidth="1"/>
    <col min="15" max="15" width="21.3516" style="1" customWidth="1"/>
    <col min="16" max="16" width="20" style="1" customWidth="1"/>
    <col min="17" max="28" width="17.1719" style="1" customWidth="1"/>
    <col min="29" max="16384" width="12.6719" style="1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  <c r="U1" t="s" s="4">
        <v>4</v>
      </c>
      <c r="V1" s="5"/>
      <c r="W1" s="5"/>
      <c r="X1" s="6"/>
      <c r="Y1" t="s" s="4">
        <v>3</v>
      </c>
      <c r="Z1" s="5"/>
      <c r="AA1" s="5"/>
      <c r="AB1" s="6"/>
    </row>
    <row r="2" ht="19.5" customHeight="1">
      <c r="A2" t="s" s="7">
        <v>5</v>
      </c>
      <c r="B2" t="s" s="8">
        <v>6</v>
      </c>
      <c r="C2" t="s" s="8">
        <v>7</v>
      </c>
      <c r="D2" t="s" s="8">
        <v>8</v>
      </c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  <c r="U2" t="s" s="4">
        <v>9</v>
      </c>
      <c r="V2" t="s" s="9">
        <v>10</v>
      </c>
      <c r="W2" t="s" s="9">
        <v>11</v>
      </c>
      <c r="X2" t="s" s="10">
        <v>12</v>
      </c>
      <c r="Y2" t="s" s="4">
        <v>9</v>
      </c>
      <c r="Z2" t="s" s="9">
        <v>10</v>
      </c>
      <c r="AA2" t="s" s="9">
        <v>11</v>
      </c>
      <c r="AB2" t="s" s="10">
        <v>12</v>
      </c>
    </row>
    <row r="3" ht="19.5" customHeight="1">
      <c r="A3" t="s" s="11">
        <v>13</v>
      </c>
      <c r="B3" s="12"/>
      <c r="C3" s="13"/>
      <c r="D3" s="13"/>
      <c r="E3" s="14"/>
      <c r="F3" s="15"/>
      <c r="G3" s="15"/>
      <c r="H3" s="16"/>
      <c r="I3" s="14"/>
      <c r="J3" s="15"/>
      <c r="K3" s="15"/>
      <c r="L3" s="16"/>
      <c r="M3" s="14"/>
      <c r="N3" s="15"/>
      <c r="O3" s="15"/>
      <c r="P3" s="16"/>
      <c r="Q3" s="14"/>
      <c r="R3" s="15"/>
      <c r="S3" s="15"/>
      <c r="T3" s="16"/>
      <c r="U3" s="14"/>
      <c r="V3" s="15"/>
      <c r="W3" s="15"/>
      <c r="X3" s="16"/>
      <c r="Y3" s="14"/>
      <c r="Z3" s="15"/>
      <c r="AA3" s="15"/>
      <c r="AB3" s="16"/>
    </row>
    <row r="4" ht="47" customHeight="1">
      <c r="A4" t="s" s="17">
        <v>14</v>
      </c>
      <c r="B4" s="18"/>
      <c r="C4" s="19"/>
      <c r="D4" s="19"/>
      <c r="E4" s="20"/>
      <c r="F4" t="s" s="21">
        <v>15</v>
      </c>
      <c r="G4" s="22"/>
      <c r="H4" s="23"/>
      <c r="I4" s="20"/>
      <c r="J4" t="s" s="21">
        <v>15</v>
      </c>
      <c r="K4" s="22"/>
      <c r="L4" s="23"/>
      <c r="M4" s="20"/>
      <c r="N4" t="s" s="21">
        <v>15</v>
      </c>
      <c r="O4" s="22"/>
      <c r="P4" s="23"/>
      <c r="Q4" s="20"/>
      <c r="R4" t="s" s="21">
        <v>15</v>
      </c>
      <c r="S4" s="22"/>
      <c r="T4" s="23"/>
      <c r="U4" s="20"/>
      <c r="V4" t="s" s="21">
        <v>15</v>
      </c>
      <c r="W4" s="22"/>
      <c r="X4" s="23"/>
      <c r="Y4" s="20"/>
      <c r="Z4" t="s" s="21">
        <v>15</v>
      </c>
      <c r="AA4" s="22"/>
      <c r="AB4" s="23"/>
    </row>
    <row r="5" ht="62.95" customHeight="1">
      <c r="A5" t="s" s="24">
        <v>16</v>
      </c>
      <c r="B5" t="s" s="24">
        <v>17</v>
      </c>
      <c r="C5" t="s" s="25">
        <v>18</v>
      </c>
      <c r="D5" s="26"/>
      <c r="E5" s="27">
        <v>1</v>
      </c>
      <c r="F5" t="s" s="28">
        <v>19</v>
      </c>
      <c r="G5" s="29"/>
      <c r="H5" s="30"/>
      <c r="I5" s="27">
        <v>1</v>
      </c>
      <c r="J5" t="s" s="28">
        <v>19</v>
      </c>
      <c r="K5" s="29"/>
      <c r="L5" s="30"/>
      <c r="M5" s="27">
        <v>1</v>
      </c>
      <c r="N5" t="s" s="28">
        <v>19</v>
      </c>
      <c r="O5" s="29"/>
      <c r="P5" s="30"/>
      <c r="Q5" s="27">
        <v>1</v>
      </c>
      <c r="R5" t="s" s="28">
        <v>19</v>
      </c>
      <c r="S5" s="29"/>
      <c r="T5" s="30"/>
      <c r="U5" s="27">
        <v>1</v>
      </c>
      <c r="V5" t="s" s="28">
        <v>19</v>
      </c>
      <c r="W5" s="29"/>
      <c r="X5" s="30"/>
      <c r="Y5" s="27">
        <v>1</v>
      </c>
      <c r="Z5" t="s" s="28">
        <v>19</v>
      </c>
      <c r="AA5" s="29"/>
      <c r="AB5" s="30"/>
    </row>
    <row r="6" ht="67.45" customHeight="1">
      <c r="A6" t="s" s="31">
        <v>20</v>
      </c>
      <c r="B6" t="s" s="31">
        <v>17</v>
      </c>
      <c r="C6" t="s" s="32">
        <v>21</v>
      </c>
      <c r="D6" s="33"/>
      <c r="E6" s="27">
        <v>1</v>
      </c>
      <c r="F6" t="s" s="28">
        <v>19</v>
      </c>
      <c r="G6" s="29"/>
      <c r="H6" s="30"/>
      <c r="I6" s="27">
        <v>1</v>
      </c>
      <c r="J6" t="s" s="28">
        <v>19</v>
      </c>
      <c r="K6" s="29"/>
      <c r="L6" s="30"/>
      <c r="M6" s="27">
        <v>1</v>
      </c>
      <c r="N6" t="s" s="28">
        <v>19</v>
      </c>
      <c r="O6" s="29"/>
      <c r="P6" s="30"/>
      <c r="Q6" s="27">
        <v>1</v>
      </c>
      <c r="R6" t="s" s="28">
        <v>19</v>
      </c>
      <c r="S6" s="29"/>
      <c r="T6" s="30"/>
      <c r="U6" s="27">
        <v>1</v>
      </c>
      <c r="V6" t="s" s="28">
        <v>19</v>
      </c>
      <c r="W6" s="29"/>
      <c r="X6" s="30"/>
      <c r="Y6" s="27">
        <v>1</v>
      </c>
      <c r="Z6" t="s" s="28">
        <v>19</v>
      </c>
      <c r="AA6" s="29"/>
      <c r="AB6" s="30"/>
    </row>
    <row r="7" ht="33.4" customHeight="1">
      <c r="A7" t="s" s="31">
        <v>22</v>
      </c>
      <c r="B7" t="s" s="31">
        <v>23</v>
      </c>
      <c r="C7" t="s" s="34">
        <v>18</v>
      </c>
      <c r="D7" s="35"/>
      <c r="E7" s="27">
        <v>1</v>
      </c>
      <c r="F7" t="s" s="28">
        <v>24</v>
      </c>
      <c r="G7" s="29"/>
      <c r="H7" s="30"/>
      <c r="I7" s="27">
        <v>1</v>
      </c>
      <c r="J7" t="s" s="28">
        <v>24</v>
      </c>
      <c r="K7" s="29"/>
      <c r="L7" s="30"/>
      <c r="M7" s="27">
        <v>1</v>
      </c>
      <c r="N7" t="s" s="28">
        <v>24</v>
      </c>
      <c r="O7" s="29"/>
      <c r="P7" s="30"/>
      <c r="Q7" s="27">
        <v>1</v>
      </c>
      <c r="R7" t="s" s="28">
        <v>24</v>
      </c>
      <c r="S7" s="29"/>
      <c r="T7" s="30"/>
      <c r="U7" s="27">
        <v>1</v>
      </c>
      <c r="V7" t="s" s="28">
        <v>24</v>
      </c>
      <c r="W7" s="29"/>
      <c r="X7" s="30"/>
      <c r="Y7" s="27">
        <v>1</v>
      </c>
      <c r="Z7" t="s" s="28">
        <v>24</v>
      </c>
      <c r="AA7" s="29"/>
      <c r="AB7" s="30"/>
    </row>
    <row r="8" ht="72.1" customHeight="1">
      <c r="A8" t="s" s="36">
        <v>25</v>
      </c>
      <c r="B8" t="s" s="36">
        <v>26</v>
      </c>
      <c r="C8" t="s" s="37">
        <v>27</v>
      </c>
      <c r="D8" s="38"/>
      <c r="E8" s="39">
        <v>1</v>
      </c>
      <c r="F8" t="s" s="40">
        <v>28</v>
      </c>
      <c r="G8" s="41"/>
      <c r="H8" s="42"/>
      <c r="I8" s="39">
        <v>1</v>
      </c>
      <c r="J8" t="s" s="40">
        <v>28</v>
      </c>
      <c r="K8" s="41"/>
      <c r="L8" s="42"/>
      <c r="M8" s="39">
        <v>1</v>
      </c>
      <c r="N8" t="s" s="40">
        <v>28</v>
      </c>
      <c r="O8" s="41"/>
      <c r="P8" s="42"/>
      <c r="Q8" s="39">
        <v>1</v>
      </c>
      <c r="R8" t="s" s="40">
        <v>28</v>
      </c>
      <c r="S8" s="41"/>
      <c r="T8" s="42"/>
      <c r="U8" s="39">
        <v>1</v>
      </c>
      <c r="V8" t="s" s="40">
        <v>28</v>
      </c>
      <c r="W8" s="41"/>
      <c r="X8" s="42"/>
      <c r="Y8" s="39">
        <v>1</v>
      </c>
      <c r="Z8" t="s" s="40">
        <v>28</v>
      </c>
      <c r="AA8" s="41"/>
      <c r="AB8" s="42"/>
    </row>
    <row r="9" ht="90.9" customHeight="1">
      <c r="A9" t="s" s="17">
        <v>29</v>
      </c>
      <c r="B9" t="s" s="17">
        <v>30</v>
      </c>
      <c r="C9" s="19"/>
      <c r="D9" s="19"/>
      <c r="E9" s="20"/>
      <c r="F9" t="s" s="21">
        <v>31</v>
      </c>
      <c r="G9" s="22"/>
      <c r="H9" t="s" s="43">
        <v>32</v>
      </c>
      <c r="I9" s="20"/>
      <c r="J9" t="s" s="21">
        <v>31</v>
      </c>
      <c r="K9" s="22"/>
      <c r="L9" t="s" s="43">
        <v>32</v>
      </c>
      <c r="M9" s="20"/>
      <c r="N9" t="s" s="21">
        <v>31</v>
      </c>
      <c r="O9" s="22"/>
      <c r="P9" t="s" s="43">
        <v>32</v>
      </c>
      <c r="Q9" s="20"/>
      <c r="R9" t="s" s="21">
        <v>31</v>
      </c>
      <c r="S9" s="22"/>
      <c r="T9" t="s" s="43">
        <v>32</v>
      </c>
      <c r="U9" s="20"/>
      <c r="V9" t="s" s="21">
        <v>31</v>
      </c>
      <c r="W9" s="22"/>
      <c r="X9" t="s" s="43">
        <v>32</v>
      </c>
      <c r="Y9" s="20"/>
      <c r="Z9" t="s" s="21">
        <v>31</v>
      </c>
      <c r="AA9" s="22"/>
      <c r="AB9" t="s" s="43">
        <v>32</v>
      </c>
    </row>
    <row r="10" ht="85.95" customHeight="1">
      <c r="A10" t="s" s="44">
        <v>33</v>
      </c>
      <c r="B10" t="s" s="44">
        <v>34</v>
      </c>
      <c r="C10" t="s" s="45">
        <v>18</v>
      </c>
      <c r="D10" s="46"/>
      <c r="E10" s="27">
        <v>2</v>
      </c>
      <c r="F10" t="s" s="28">
        <v>35</v>
      </c>
      <c r="G10" s="47" cm="1">
        <f t="array" ref="G10">$D10*(1.0278-0.0278*8)</f>
        <v>0</v>
      </c>
      <c r="H10" s="48" cm="1">
        <f t="array" ref="H10">$D10*(1.0278-0.0278*8)</f>
        <v>0</v>
      </c>
      <c r="I10" s="27">
        <v>2</v>
      </c>
      <c r="J10" t="s" s="28">
        <v>35</v>
      </c>
      <c r="K10" s="47" cm="1">
        <f t="array" ref="K10">$D10*(1.0278-0.0278*8)</f>
        <v>0</v>
      </c>
      <c r="L10" s="48" cm="1">
        <f t="array" ref="L10">$D10*(1.0278-0.0278*8)</f>
        <v>0</v>
      </c>
      <c r="M10" s="27">
        <v>2</v>
      </c>
      <c r="N10" t="s" s="28">
        <v>36</v>
      </c>
      <c r="O10" s="47" cm="1">
        <f t="array" ref="O10">$D10*(1.0278-0.0278*8)</f>
        <v>0</v>
      </c>
      <c r="P10" s="48" cm="1">
        <f t="array" ref="P10">$D10*(1.0278-0.0278*8)</f>
        <v>0</v>
      </c>
      <c r="Q10" s="27">
        <v>2</v>
      </c>
      <c r="R10" t="s" s="28">
        <v>36</v>
      </c>
      <c r="S10" s="47" cm="1">
        <f t="array" ref="S10">$D10*(1.0278-0.0278*8)</f>
        <v>0</v>
      </c>
      <c r="T10" s="48" cm="1">
        <f t="array" ref="T10">$D10*(1.0278-0.0278*8)</f>
        <v>0</v>
      </c>
      <c r="U10" s="27">
        <v>2</v>
      </c>
      <c r="V10" t="s" s="28">
        <v>36</v>
      </c>
      <c r="W10" s="47" cm="1">
        <f t="array" ref="W10">$D10*(1.0278-0.0278*8)</f>
        <v>0</v>
      </c>
      <c r="X10" s="48" cm="1">
        <f t="array" ref="X10">$D10*(1.0278-0.0278*8)</f>
        <v>0</v>
      </c>
      <c r="Y10" s="27">
        <v>2</v>
      </c>
      <c r="Z10" t="s" s="28">
        <v>36</v>
      </c>
      <c r="AA10" s="47" cm="1">
        <f t="array" ref="AA10">$D10*(1.0278-0.0278*8)</f>
        <v>0</v>
      </c>
      <c r="AB10" s="48" cm="1">
        <f t="array" ref="AB10">$D10*(1.0278-0.0278*8)</f>
        <v>0</v>
      </c>
    </row>
    <row r="11" ht="85.95" customHeight="1">
      <c r="A11" t="s" s="49">
        <v>37</v>
      </c>
      <c r="B11" t="s" s="49">
        <v>38</v>
      </c>
      <c r="C11" t="s" s="50">
        <v>39</v>
      </c>
      <c r="D11" s="51"/>
      <c r="E11" s="39">
        <v>2</v>
      </c>
      <c r="F11" s="52">
        <v>0.0006944444444444445</v>
      </c>
      <c r="G11" s="41"/>
      <c r="H11" s="42"/>
      <c r="I11" s="39">
        <v>2</v>
      </c>
      <c r="J11" s="52">
        <v>0.0006944444444444445</v>
      </c>
      <c r="K11" s="41"/>
      <c r="L11" s="42"/>
      <c r="M11" s="39">
        <v>2</v>
      </c>
      <c r="N11" s="53">
        <v>0.0008680555555555555</v>
      </c>
      <c r="O11" s="41"/>
      <c r="P11" s="42"/>
      <c r="Q11" s="39">
        <v>2</v>
      </c>
      <c r="R11" s="53">
        <v>0.0008680555555555555</v>
      </c>
      <c r="S11" s="41"/>
      <c r="T11" s="42"/>
      <c r="U11" s="39">
        <v>2</v>
      </c>
      <c r="V11" s="53">
        <v>0.0008680555555555555</v>
      </c>
      <c r="W11" s="41"/>
      <c r="X11" s="42"/>
      <c r="Y11" s="39">
        <v>2</v>
      </c>
      <c r="Z11" s="53">
        <v>0.0008680555555555555</v>
      </c>
      <c r="AA11" s="41"/>
      <c r="AB11" s="42"/>
    </row>
    <row r="12" ht="206.6" customHeight="1">
      <c r="A12" t="s" s="54">
        <v>40</v>
      </c>
      <c r="B12" t="s" s="17">
        <v>41</v>
      </c>
      <c r="C12" s="55"/>
      <c r="D12" s="55"/>
      <c r="E12" s="20"/>
      <c r="F12" t="s" s="21">
        <v>42</v>
      </c>
      <c r="G12" s="22"/>
      <c r="H12" s="23"/>
      <c r="I12" s="20"/>
      <c r="J12" t="s" s="21">
        <v>42</v>
      </c>
      <c r="K12" s="22"/>
      <c r="L12" s="23"/>
      <c r="M12" s="20"/>
      <c r="N12" t="s" s="21">
        <v>42</v>
      </c>
      <c r="O12" s="22"/>
      <c r="P12" s="23"/>
      <c r="Q12" s="20"/>
      <c r="R12" t="s" s="21">
        <v>42</v>
      </c>
      <c r="S12" s="22"/>
      <c r="T12" s="23"/>
      <c r="U12" s="20"/>
      <c r="V12" t="s" s="21">
        <v>42</v>
      </c>
      <c r="W12" s="22"/>
      <c r="X12" s="23"/>
      <c r="Y12" s="20"/>
      <c r="Z12" t="s" s="21">
        <v>42</v>
      </c>
      <c r="AA12" s="22"/>
      <c r="AB12" s="23"/>
    </row>
    <row r="13" ht="95.3" customHeight="1">
      <c r="A13" t="s" s="56">
        <v>43</v>
      </c>
      <c r="B13" t="s" s="56">
        <v>44</v>
      </c>
      <c r="C13" t="s" s="57">
        <v>45</v>
      </c>
      <c r="D13" s="58"/>
      <c r="E13" s="27">
        <v>1</v>
      </c>
      <c r="F13" t="s" s="28">
        <v>46</v>
      </c>
      <c r="G13" s="29"/>
      <c r="H13" s="30"/>
      <c r="I13" s="27">
        <v>1</v>
      </c>
      <c r="J13" t="s" s="28">
        <v>46</v>
      </c>
      <c r="K13" s="29"/>
      <c r="L13" s="30"/>
      <c r="M13" s="27">
        <v>1</v>
      </c>
      <c r="N13" t="s" s="28">
        <v>46</v>
      </c>
      <c r="O13" s="29"/>
      <c r="P13" s="30"/>
      <c r="Q13" s="27">
        <v>1</v>
      </c>
      <c r="R13" t="s" s="28">
        <v>46</v>
      </c>
      <c r="S13" s="29"/>
      <c r="T13" s="30"/>
      <c r="U13" s="27">
        <v>1</v>
      </c>
      <c r="V13" t="s" s="28">
        <v>46</v>
      </c>
      <c r="W13" s="29"/>
      <c r="X13" s="30"/>
      <c r="Y13" s="27">
        <v>1</v>
      </c>
      <c r="Z13" t="s" s="28">
        <v>46</v>
      </c>
      <c r="AA13" s="29"/>
      <c r="AB13" s="30"/>
    </row>
    <row r="14" ht="70.05" customHeight="1">
      <c r="A14" t="s" s="59">
        <v>47</v>
      </c>
      <c r="B14" s="60"/>
      <c r="C14" t="s" s="61">
        <v>48</v>
      </c>
      <c r="D14" s="62"/>
      <c r="E14" s="27">
        <v>1</v>
      </c>
      <c r="F14" s="63">
        <v>0.0006944444444444445</v>
      </c>
      <c r="G14" t="s" s="28">
        <v>49</v>
      </c>
      <c r="H14" t="s" s="64">
        <v>50</v>
      </c>
      <c r="I14" s="27">
        <v>1</v>
      </c>
      <c r="J14" s="63">
        <v>0.0006944444444444445</v>
      </c>
      <c r="K14" t="s" s="28">
        <v>49</v>
      </c>
      <c r="L14" t="s" s="64">
        <v>50</v>
      </c>
      <c r="M14" s="27">
        <v>1</v>
      </c>
      <c r="N14" s="65">
        <v>0.0008680555555555555</v>
      </c>
      <c r="O14" t="s" s="28">
        <v>49</v>
      </c>
      <c r="P14" t="s" s="64">
        <v>50</v>
      </c>
      <c r="Q14" s="27">
        <v>1</v>
      </c>
      <c r="R14" s="65">
        <v>0.0008680555555555555</v>
      </c>
      <c r="S14" t="s" s="28">
        <v>49</v>
      </c>
      <c r="T14" t="s" s="64">
        <v>50</v>
      </c>
      <c r="U14" s="27">
        <v>1</v>
      </c>
      <c r="V14" s="65">
        <v>0.0008680555555555555</v>
      </c>
      <c r="W14" t="s" s="28">
        <v>49</v>
      </c>
      <c r="X14" t="s" s="64">
        <v>50</v>
      </c>
      <c r="Y14" s="27">
        <v>1</v>
      </c>
      <c r="Z14" s="65">
        <v>0.0008680555555555555</v>
      </c>
      <c r="AA14" t="s" s="28">
        <v>49</v>
      </c>
      <c r="AB14" t="s" s="64">
        <v>50</v>
      </c>
    </row>
    <row r="15" ht="115.35" customHeight="1">
      <c r="A15" t="s" s="59">
        <v>51</v>
      </c>
      <c r="B15" t="s" s="66">
        <v>52</v>
      </c>
      <c r="C15" t="s" s="61">
        <v>48</v>
      </c>
      <c r="D15" s="62"/>
      <c r="E15" s="27">
        <v>1</v>
      </c>
      <c r="F15" t="s" s="28">
        <v>53</v>
      </c>
      <c r="G15" t="s" s="28">
        <v>54</v>
      </c>
      <c r="H15" t="s" s="64">
        <v>54</v>
      </c>
      <c r="I15" s="27">
        <v>1</v>
      </c>
      <c r="J15" t="s" s="28">
        <v>53</v>
      </c>
      <c r="K15" t="s" s="28">
        <v>54</v>
      </c>
      <c r="L15" t="s" s="64">
        <v>54</v>
      </c>
      <c r="M15" s="27">
        <v>1</v>
      </c>
      <c r="N15" t="s" s="28">
        <v>53</v>
      </c>
      <c r="O15" t="s" s="28">
        <v>54</v>
      </c>
      <c r="P15" t="s" s="64">
        <v>54</v>
      </c>
      <c r="Q15" s="27">
        <v>1</v>
      </c>
      <c r="R15" t="s" s="28">
        <v>53</v>
      </c>
      <c r="S15" t="s" s="28">
        <v>54</v>
      </c>
      <c r="T15" t="s" s="64">
        <v>54</v>
      </c>
      <c r="U15" s="27">
        <v>1</v>
      </c>
      <c r="V15" t="s" s="28">
        <v>53</v>
      </c>
      <c r="W15" t="s" s="28">
        <v>54</v>
      </c>
      <c r="X15" t="s" s="64">
        <v>54</v>
      </c>
      <c r="Y15" s="27">
        <v>1</v>
      </c>
      <c r="Z15" t="s" s="28">
        <v>53</v>
      </c>
      <c r="AA15" t="s" s="28">
        <v>54</v>
      </c>
      <c r="AB15" t="s" s="64">
        <v>54</v>
      </c>
    </row>
    <row r="16" ht="136.1" customHeight="1">
      <c r="A16" t="s" s="59">
        <v>55</v>
      </c>
      <c r="B16" t="s" s="66">
        <v>56</v>
      </c>
      <c r="C16" t="s" s="61">
        <v>57</v>
      </c>
      <c r="D16" s="62"/>
      <c r="E16" s="27">
        <v>4</v>
      </c>
      <c r="F16" t="s" s="28">
        <v>58</v>
      </c>
      <c r="G16" s="47" cm="1">
        <f t="array" ref="G16">$D16*(1.0278-0.0278*14)</f>
        <v>0</v>
      </c>
      <c r="H16" s="48" cm="1">
        <f t="array" ref="H16">$D16*(1.0278-0.0278*12)</f>
        <v>0</v>
      </c>
      <c r="I16" s="27">
        <v>4</v>
      </c>
      <c r="J16" t="s" s="28">
        <v>58</v>
      </c>
      <c r="K16" s="47" cm="1">
        <f t="array" ref="K16">$D16*(1.0278-0.0278*14)</f>
        <v>0</v>
      </c>
      <c r="L16" s="48" cm="1">
        <f t="array" ref="L16">$D16*(1.0278-0.0278*12)</f>
        <v>0</v>
      </c>
      <c r="M16" s="27">
        <v>4</v>
      </c>
      <c r="N16" t="s" s="28">
        <v>58</v>
      </c>
      <c r="O16" s="47" cm="1">
        <f t="array" ref="O16">$D16*(1.0278-0.0278*12)</f>
        <v>0</v>
      </c>
      <c r="P16" s="48" cm="1">
        <f t="array" ref="P16">$D16*(1.0278-0.0278*12)</f>
        <v>0</v>
      </c>
      <c r="Q16" s="27">
        <v>4</v>
      </c>
      <c r="R16" t="s" s="28">
        <v>58</v>
      </c>
      <c r="S16" s="47" cm="1">
        <f t="array" ref="S16">$D16*(1.0278-0.0278*12)</f>
        <v>0</v>
      </c>
      <c r="T16" s="48" cm="1">
        <f t="array" ref="T16">$D16*(1.0278-0.0278*10)</f>
        <v>0</v>
      </c>
      <c r="U16" s="27">
        <v>4</v>
      </c>
      <c r="V16" t="s" s="28">
        <v>58</v>
      </c>
      <c r="W16" s="47" cm="1">
        <f t="array" ref="W16">$D16*(1.0278-0.0278*12)</f>
        <v>0</v>
      </c>
      <c r="X16" s="48" cm="1">
        <f t="array" ref="X16">$D16*(1.0278-0.0278*12)</f>
        <v>0</v>
      </c>
      <c r="Y16" s="27">
        <v>4</v>
      </c>
      <c r="Z16" t="s" s="28">
        <v>58</v>
      </c>
      <c r="AA16" s="47" cm="1">
        <f t="array" ref="AA16">$D16*(1.0278-0.0278*10)</f>
        <v>0</v>
      </c>
      <c r="AB16" s="48" cm="1">
        <f t="array" ref="AB16">$D16*(1.0278-0.0278*10)</f>
        <v>0</v>
      </c>
    </row>
    <row r="17" ht="103.05" customHeight="1">
      <c r="A17" t="s" s="67">
        <v>59</v>
      </c>
      <c r="B17" t="s" s="68">
        <v>60</v>
      </c>
      <c r="C17" t="s" s="69">
        <v>61</v>
      </c>
      <c r="D17" s="70"/>
      <c r="E17" s="71">
        <v>4</v>
      </c>
      <c r="F17" t="s" s="28">
        <v>58</v>
      </c>
      <c r="G17" s="47" cm="1">
        <f t="array" ref="G17">$D17*(1.0278-0.0278*14)</f>
        <v>0</v>
      </c>
      <c r="H17" s="48" cm="1">
        <f t="array" ref="H17">$D17*(1.0278-0.0278*12)</f>
        <v>0</v>
      </c>
      <c r="I17" s="71">
        <v>4</v>
      </c>
      <c r="J17" t="s" s="28">
        <v>58</v>
      </c>
      <c r="K17" s="47" cm="1">
        <f t="array" ref="K17">$D17*(1.0278-0.0278*14)</f>
        <v>0</v>
      </c>
      <c r="L17" s="48" cm="1">
        <f t="array" ref="L17">$D17*(1.0278-0.0278*12)</f>
        <v>0</v>
      </c>
      <c r="M17" s="71">
        <v>4</v>
      </c>
      <c r="N17" t="s" s="28">
        <v>58</v>
      </c>
      <c r="O17" s="47" cm="1">
        <f t="array" ref="O17">$D17*(1.0278-0.0278*12)</f>
        <v>0</v>
      </c>
      <c r="P17" s="48" cm="1">
        <f t="array" ref="P17">$D17*(1.0278-0.0278*12)</f>
        <v>0</v>
      </c>
      <c r="Q17" s="71">
        <v>4</v>
      </c>
      <c r="R17" t="s" s="28">
        <v>58</v>
      </c>
      <c r="S17" s="47" cm="1">
        <f t="array" ref="S17">$D17*(1.0278-0.0278*12)</f>
        <v>0</v>
      </c>
      <c r="T17" s="48" cm="1">
        <f t="array" ref="T17">$D17*(1.0278-0.0278*10)</f>
        <v>0</v>
      </c>
      <c r="U17" s="71">
        <v>4</v>
      </c>
      <c r="V17" t="s" s="28">
        <v>58</v>
      </c>
      <c r="W17" s="47" cm="1">
        <f t="array" ref="W17">$D17*(1.0278-0.0278*12)</f>
        <v>0</v>
      </c>
      <c r="X17" s="48" cm="1">
        <f t="array" ref="X17">$D17*(1.0278-0.0278*12)</f>
        <v>0</v>
      </c>
      <c r="Y17" s="71">
        <v>4</v>
      </c>
      <c r="Z17" t="s" s="28">
        <v>58</v>
      </c>
      <c r="AA17" s="47" cm="1">
        <f t="array" ref="AA17">$D17*(1.0278-0.0278*10)</f>
        <v>0</v>
      </c>
      <c r="AB17" s="48" cm="1">
        <f t="array" ref="AB17">$D17*(1.0278-0.0278*10)</f>
        <v>0</v>
      </c>
    </row>
    <row r="18" ht="137.6" customHeight="1">
      <c r="A18" t="s" s="72">
        <v>62</v>
      </c>
      <c r="B18" t="s" s="73">
        <v>63</v>
      </c>
      <c r="C18" s="74"/>
      <c r="D18" s="75"/>
      <c r="E18" s="76">
        <v>1</v>
      </c>
      <c r="F18" t="s" s="77">
        <v>64</v>
      </c>
      <c r="G18" s="29"/>
      <c r="H18" s="30"/>
      <c r="I18" s="76">
        <v>1</v>
      </c>
      <c r="J18" t="s" s="77">
        <v>64</v>
      </c>
      <c r="K18" s="29"/>
      <c r="L18" s="30"/>
      <c r="M18" s="76">
        <v>1</v>
      </c>
      <c r="N18" t="s" s="77">
        <v>64</v>
      </c>
      <c r="O18" s="29"/>
      <c r="P18" s="30"/>
      <c r="Q18" s="76">
        <v>1</v>
      </c>
      <c r="R18" t="s" s="77">
        <v>64</v>
      </c>
      <c r="S18" s="29"/>
      <c r="T18" s="30"/>
      <c r="U18" s="76">
        <v>1</v>
      </c>
      <c r="V18" t="s" s="77">
        <v>64</v>
      </c>
      <c r="W18" s="29"/>
      <c r="X18" s="30"/>
      <c r="Y18" s="76">
        <v>1</v>
      </c>
      <c r="Z18" t="s" s="77">
        <v>64</v>
      </c>
      <c r="AA18" s="29"/>
      <c r="AB18" s="30"/>
    </row>
    <row r="19" ht="137.6" customHeight="1">
      <c r="A19" t="s" s="78">
        <v>65</v>
      </c>
      <c r="B19" s="79"/>
      <c r="C19" t="s" s="80">
        <v>66</v>
      </c>
      <c r="D19" s="81"/>
      <c r="E19" s="76">
        <v>2</v>
      </c>
      <c r="F19" t="s" s="77">
        <v>67</v>
      </c>
      <c r="G19" s="29"/>
      <c r="H19" s="30"/>
      <c r="I19" s="76">
        <v>2</v>
      </c>
      <c r="J19" t="s" s="77">
        <v>67</v>
      </c>
      <c r="K19" s="29"/>
      <c r="L19" s="30"/>
      <c r="M19" s="76">
        <v>2</v>
      </c>
      <c r="N19" t="s" s="77">
        <v>67</v>
      </c>
      <c r="O19" s="29"/>
      <c r="P19" s="30"/>
      <c r="Q19" s="76">
        <v>2</v>
      </c>
      <c r="R19" t="s" s="77">
        <v>67</v>
      </c>
      <c r="S19" s="29"/>
      <c r="T19" s="30"/>
      <c r="U19" s="76">
        <v>2</v>
      </c>
      <c r="V19" t="s" s="77">
        <v>67</v>
      </c>
      <c r="W19" s="29"/>
      <c r="X19" s="30"/>
      <c r="Y19" s="76">
        <v>2</v>
      </c>
      <c r="Z19" t="s" s="77">
        <v>67</v>
      </c>
      <c r="AA19" s="29"/>
      <c r="AB19" s="30"/>
    </row>
    <row r="20" ht="10" customHeight="1">
      <c r="A20" s="12"/>
      <c r="B20" s="12"/>
      <c r="C20" s="13"/>
      <c r="D20" s="13"/>
      <c r="E20" s="82"/>
      <c r="F20" s="83"/>
      <c r="G20" s="83"/>
      <c r="H20" s="84"/>
      <c r="I20" s="82"/>
      <c r="J20" s="83"/>
      <c r="K20" s="83"/>
      <c r="L20" s="84"/>
      <c r="M20" s="82"/>
      <c r="N20" s="83"/>
      <c r="O20" s="83"/>
      <c r="P20" s="84"/>
      <c r="Q20" s="82"/>
      <c r="R20" s="83"/>
      <c r="S20" s="83"/>
      <c r="T20" s="84"/>
      <c r="U20" s="82"/>
      <c r="V20" s="83"/>
      <c r="W20" s="83"/>
      <c r="X20" s="84"/>
      <c r="Y20" s="82"/>
      <c r="Z20" s="83"/>
      <c r="AA20" s="83"/>
      <c r="AB20" s="84"/>
    </row>
    <row r="21" ht="39" customHeight="1">
      <c r="A21" s="85"/>
      <c r="B21" s="22"/>
      <c r="C21" s="23"/>
      <c r="D21" s="20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ht="19.5" customHeight="1">
      <c r="A22" s="87"/>
      <c r="B22" s="88"/>
      <c r="C22" s="89"/>
      <c r="D22" s="9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ht="26" customHeight="1">
      <c r="A23" t="s" s="7">
        <v>68</v>
      </c>
      <c r="B23" s="2"/>
      <c r="C23" s="2"/>
      <c r="D23" s="2"/>
      <c r="E23" s="91"/>
      <c r="F23" s="92"/>
      <c r="G23" s="93"/>
      <c r="H23" s="94"/>
      <c r="I23" s="91"/>
      <c r="J23" s="92"/>
      <c r="K23" s="93"/>
      <c r="L23" s="94"/>
      <c r="M23" s="91"/>
      <c r="N23" s="92"/>
      <c r="O23" s="93"/>
      <c r="P23" s="94"/>
      <c r="Q23" s="91"/>
      <c r="R23" s="92"/>
      <c r="S23" s="93"/>
      <c r="T23" s="94"/>
      <c r="U23" s="91"/>
      <c r="V23" s="92"/>
      <c r="W23" s="93"/>
      <c r="X23" s="94"/>
      <c r="Y23" s="91"/>
      <c r="Z23" s="92"/>
      <c r="AA23" s="93"/>
      <c r="AB23" s="94"/>
    </row>
    <row r="24" ht="68.35" customHeight="1">
      <c r="A24" t="s" s="17">
        <v>14</v>
      </c>
      <c r="B24" s="18"/>
      <c r="C24" s="19"/>
      <c r="D24" s="19"/>
      <c r="E24" s="20"/>
      <c r="F24" t="s" s="21">
        <v>69</v>
      </c>
      <c r="G24" s="22"/>
      <c r="H24" s="23"/>
      <c r="I24" s="20"/>
      <c r="J24" t="s" s="21">
        <v>69</v>
      </c>
      <c r="K24" s="22"/>
      <c r="L24" s="23"/>
      <c r="M24" s="20"/>
      <c r="N24" t="s" s="21">
        <v>69</v>
      </c>
      <c r="O24" s="22"/>
      <c r="P24" s="23"/>
      <c r="Q24" s="20"/>
      <c r="R24" t="s" s="21">
        <v>69</v>
      </c>
      <c r="S24" s="22"/>
      <c r="T24" s="23"/>
      <c r="U24" s="20"/>
      <c r="V24" t="s" s="21">
        <v>69</v>
      </c>
      <c r="W24" s="22"/>
      <c r="X24" s="23"/>
      <c r="Y24" s="20"/>
      <c r="Z24" t="s" s="21">
        <v>69</v>
      </c>
      <c r="AA24" s="22"/>
      <c r="AB24" s="23"/>
    </row>
    <row r="25" ht="36.4" customHeight="1">
      <c r="A25" t="s" s="24">
        <v>16</v>
      </c>
      <c r="B25" t="s" s="24">
        <v>17</v>
      </c>
      <c r="C25" t="s" s="25">
        <v>18</v>
      </c>
      <c r="D25" s="26"/>
      <c r="E25" s="27">
        <v>1</v>
      </c>
      <c r="F25" t="s" s="28">
        <v>19</v>
      </c>
      <c r="G25" s="29"/>
      <c r="H25" s="30"/>
      <c r="I25" s="27">
        <v>1</v>
      </c>
      <c r="J25" t="s" s="28">
        <v>19</v>
      </c>
      <c r="K25" s="29"/>
      <c r="L25" s="30"/>
      <c r="M25" s="27">
        <v>1</v>
      </c>
      <c r="N25" t="s" s="28">
        <v>19</v>
      </c>
      <c r="O25" s="29"/>
      <c r="P25" s="30"/>
      <c r="Q25" s="27">
        <v>1</v>
      </c>
      <c r="R25" t="s" s="28">
        <v>19</v>
      </c>
      <c r="S25" s="29"/>
      <c r="T25" s="30"/>
      <c r="U25" s="27">
        <v>1</v>
      </c>
      <c r="V25" t="s" s="28">
        <v>19</v>
      </c>
      <c r="W25" s="29"/>
      <c r="X25" s="30"/>
      <c r="Y25" s="27">
        <v>1</v>
      </c>
      <c r="Z25" t="s" s="28">
        <v>19</v>
      </c>
      <c r="AA25" s="29"/>
      <c r="AB25" s="30"/>
    </row>
    <row r="26" ht="34.05" customHeight="1">
      <c r="A26" t="s" s="31">
        <v>20</v>
      </c>
      <c r="B26" t="s" s="31">
        <v>17</v>
      </c>
      <c r="C26" t="s" s="32">
        <v>21</v>
      </c>
      <c r="D26" s="33"/>
      <c r="E26" s="27">
        <v>1</v>
      </c>
      <c r="F26" t="s" s="28">
        <v>19</v>
      </c>
      <c r="G26" s="29"/>
      <c r="H26" s="30"/>
      <c r="I26" s="27">
        <v>1</v>
      </c>
      <c r="J26" t="s" s="28">
        <v>19</v>
      </c>
      <c r="K26" s="29"/>
      <c r="L26" s="30"/>
      <c r="M26" s="27">
        <v>1</v>
      </c>
      <c r="N26" t="s" s="28">
        <v>19</v>
      </c>
      <c r="O26" s="29"/>
      <c r="P26" s="30"/>
      <c r="Q26" s="27">
        <v>1</v>
      </c>
      <c r="R26" t="s" s="28">
        <v>19</v>
      </c>
      <c r="S26" s="29"/>
      <c r="T26" s="30"/>
      <c r="U26" s="27">
        <v>1</v>
      </c>
      <c r="V26" t="s" s="28">
        <v>19</v>
      </c>
      <c r="W26" s="29"/>
      <c r="X26" s="30"/>
      <c r="Y26" s="27">
        <v>1</v>
      </c>
      <c r="Z26" t="s" s="28">
        <v>19</v>
      </c>
      <c r="AA26" s="29"/>
      <c r="AB26" s="30"/>
    </row>
    <row r="27" ht="66.9" customHeight="1">
      <c r="A27" t="s" s="31">
        <v>70</v>
      </c>
      <c r="B27" t="s" s="31">
        <v>71</v>
      </c>
      <c r="C27" t="s" s="32">
        <v>18</v>
      </c>
      <c r="D27" s="33"/>
      <c r="E27" s="27">
        <v>1</v>
      </c>
      <c r="F27" t="s" s="28">
        <v>72</v>
      </c>
      <c r="G27" s="29"/>
      <c r="H27" s="30"/>
      <c r="I27" s="27">
        <v>1</v>
      </c>
      <c r="J27" t="s" s="28">
        <v>72</v>
      </c>
      <c r="K27" s="29"/>
      <c r="L27" s="30"/>
      <c r="M27" s="27">
        <v>1</v>
      </c>
      <c r="N27" t="s" s="28">
        <v>72</v>
      </c>
      <c r="O27" s="29"/>
      <c r="P27" s="30"/>
      <c r="Q27" s="27">
        <v>1</v>
      </c>
      <c r="R27" t="s" s="28">
        <v>72</v>
      </c>
      <c r="S27" s="29"/>
      <c r="T27" s="30"/>
      <c r="U27" s="27">
        <v>1</v>
      </c>
      <c r="V27" t="s" s="28">
        <v>72</v>
      </c>
      <c r="W27" s="29"/>
      <c r="X27" s="30"/>
      <c r="Y27" s="27">
        <v>1</v>
      </c>
      <c r="Z27" t="s" s="28">
        <v>72</v>
      </c>
      <c r="AA27" s="29"/>
      <c r="AB27" s="30"/>
    </row>
    <row r="28" ht="43.8" customHeight="1">
      <c r="A28" t="s" s="31">
        <v>22</v>
      </c>
      <c r="B28" t="s" s="31">
        <v>23</v>
      </c>
      <c r="C28" t="s" s="34">
        <v>18</v>
      </c>
      <c r="D28" s="35"/>
      <c r="E28" s="27">
        <v>1</v>
      </c>
      <c r="F28" t="s" s="28">
        <v>24</v>
      </c>
      <c r="G28" s="29"/>
      <c r="H28" s="30"/>
      <c r="I28" s="27">
        <v>1</v>
      </c>
      <c r="J28" t="s" s="28">
        <v>24</v>
      </c>
      <c r="K28" s="29"/>
      <c r="L28" s="30"/>
      <c r="M28" s="27">
        <v>1</v>
      </c>
      <c r="N28" t="s" s="28">
        <v>24</v>
      </c>
      <c r="O28" s="29"/>
      <c r="P28" s="30"/>
      <c r="Q28" s="27">
        <v>1</v>
      </c>
      <c r="R28" t="s" s="28">
        <v>24</v>
      </c>
      <c r="S28" s="29"/>
      <c r="T28" s="30"/>
      <c r="U28" s="27">
        <v>1</v>
      </c>
      <c r="V28" t="s" s="28">
        <v>24</v>
      </c>
      <c r="W28" s="29"/>
      <c r="X28" s="30"/>
      <c r="Y28" s="27">
        <v>1</v>
      </c>
      <c r="Z28" t="s" s="28">
        <v>24</v>
      </c>
      <c r="AA28" s="29"/>
      <c r="AB28" s="30"/>
    </row>
    <row r="29" ht="67.45" customHeight="1">
      <c r="A29" t="s" s="36">
        <v>25</v>
      </c>
      <c r="B29" t="s" s="36">
        <v>26</v>
      </c>
      <c r="C29" t="s" s="37">
        <v>27</v>
      </c>
      <c r="D29" s="38"/>
      <c r="E29" s="39">
        <v>1</v>
      </c>
      <c r="F29" t="s" s="40">
        <v>28</v>
      </c>
      <c r="G29" s="41"/>
      <c r="H29" s="42"/>
      <c r="I29" s="39">
        <v>1</v>
      </c>
      <c r="J29" t="s" s="40">
        <v>28</v>
      </c>
      <c r="K29" s="41"/>
      <c r="L29" s="42"/>
      <c r="M29" s="39">
        <v>1</v>
      </c>
      <c r="N29" t="s" s="40">
        <v>28</v>
      </c>
      <c r="O29" s="41"/>
      <c r="P29" s="42"/>
      <c r="Q29" s="39">
        <v>1</v>
      </c>
      <c r="R29" t="s" s="40">
        <v>28</v>
      </c>
      <c r="S29" s="41"/>
      <c r="T29" s="42"/>
      <c r="U29" s="39">
        <v>1</v>
      </c>
      <c r="V29" t="s" s="40">
        <v>28</v>
      </c>
      <c r="W29" s="41"/>
      <c r="X29" s="42"/>
      <c r="Y29" s="39">
        <v>1</v>
      </c>
      <c r="Z29" t="s" s="40">
        <v>28</v>
      </c>
      <c r="AA29" s="41"/>
      <c r="AB29" s="42"/>
    </row>
    <row r="30" ht="171.15" customHeight="1">
      <c r="A30" t="s" s="17">
        <v>29</v>
      </c>
      <c r="B30" t="s" s="17">
        <v>73</v>
      </c>
      <c r="C30" s="19"/>
      <c r="D30" s="19"/>
      <c r="E30" s="20"/>
      <c r="F30" t="s" s="21">
        <v>74</v>
      </c>
      <c r="G30" s="22"/>
      <c r="H30" t="s" s="43">
        <v>32</v>
      </c>
      <c r="I30" s="20"/>
      <c r="J30" t="s" s="21">
        <v>74</v>
      </c>
      <c r="K30" s="22"/>
      <c r="L30" t="s" s="43">
        <v>32</v>
      </c>
      <c r="M30" s="20"/>
      <c r="N30" t="s" s="21">
        <v>74</v>
      </c>
      <c r="O30" s="22"/>
      <c r="P30" t="s" s="43">
        <v>32</v>
      </c>
      <c r="Q30" s="20"/>
      <c r="R30" t="s" s="21">
        <v>74</v>
      </c>
      <c r="S30" s="22"/>
      <c r="T30" t="s" s="43">
        <v>32</v>
      </c>
      <c r="U30" s="20"/>
      <c r="V30" t="s" s="21">
        <v>74</v>
      </c>
      <c r="W30" s="22"/>
      <c r="X30" t="s" s="43">
        <v>32</v>
      </c>
      <c r="Y30" s="20"/>
      <c r="Z30" t="s" s="21">
        <v>74</v>
      </c>
      <c r="AA30" s="22"/>
      <c r="AB30" t="s" s="43">
        <v>32</v>
      </c>
    </row>
    <row r="31" ht="83.4" customHeight="1">
      <c r="A31" t="s" s="44">
        <v>75</v>
      </c>
      <c r="B31" t="s" s="44">
        <v>38</v>
      </c>
      <c r="C31" t="s" s="45">
        <v>48</v>
      </c>
      <c r="D31" s="46"/>
      <c r="E31" s="27">
        <v>2</v>
      </c>
      <c r="F31" s="63">
        <v>0.001388888888888889</v>
      </c>
      <c r="G31" s="29"/>
      <c r="H31" s="30"/>
      <c r="I31" s="27">
        <v>2</v>
      </c>
      <c r="J31" s="63">
        <v>0.001388888888888889</v>
      </c>
      <c r="K31" s="29"/>
      <c r="L31" s="30"/>
      <c r="M31" s="27">
        <v>2</v>
      </c>
      <c r="N31" s="63">
        <v>0.001388888888888889</v>
      </c>
      <c r="O31" s="29"/>
      <c r="P31" s="30"/>
      <c r="Q31" s="27">
        <v>2</v>
      </c>
      <c r="R31" s="63">
        <v>0.001388888888888889</v>
      </c>
      <c r="S31" s="29"/>
      <c r="T31" s="30"/>
      <c r="U31" s="27">
        <v>2</v>
      </c>
      <c r="V31" s="63">
        <v>0.001388888888888889</v>
      </c>
      <c r="W31" s="29"/>
      <c r="X31" s="30"/>
      <c r="Y31" s="27">
        <v>2</v>
      </c>
      <c r="Z31" s="63">
        <v>0.001388888888888889</v>
      </c>
      <c r="AA31" s="29"/>
      <c r="AB31" s="30"/>
    </row>
    <row r="32" ht="45.95" customHeight="1">
      <c r="A32" t="s" s="49">
        <v>76</v>
      </c>
      <c r="B32" t="s" s="49">
        <v>77</v>
      </c>
      <c r="C32" t="s" s="50">
        <v>61</v>
      </c>
      <c r="D32" s="51"/>
      <c r="E32" s="27">
        <v>2</v>
      </c>
      <c r="F32" t="s" s="28">
        <v>67</v>
      </c>
      <c r="G32" s="29"/>
      <c r="H32" s="30"/>
      <c r="I32" s="27">
        <v>2</v>
      </c>
      <c r="J32" t="s" s="28">
        <v>67</v>
      </c>
      <c r="K32" s="29"/>
      <c r="L32" s="30"/>
      <c r="M32" s="27">
        <v>2</v>
      </c>
      <c r="N32" t="s" s="28">
        <v>67</v>
      </c>
      <c r="O32" s="29"/>
      <c r="P32" s="30"/>
      <c r="Q32" s="27">
        <v>2</v>
      </c>
      <c r="R32" t="s" s="28">
        <v>67</v>
      </c>
      <c r="S32" s="29"/>
      <c r="T32" s="30"/>
      <c r="U32" s="27">
        <v>2</v>
      </c>
      <c r="V32" t="s" s="28">
        <v>67</v>
      </c>
      <c r="W32" s="29"/>
      <c r="X32" s="30"/>
      <c r="Y32" s="27">
        <v>2</v>
      </c>
      <c r="Z32" t="s" s="28">
        <v>67</v>
      </c>
      <c r="AA32" s="29"/>
      <c r="AB32" s="30"/>
    </row>
    <row r="33" ht="171.35" customHeight="1">
      <c r="A33" t="s" s="54">
        <v>40</v>
      </c>
      <c r="B33" t="s" s="54">
        <v>73</v>
      </c>
      <c r="C33" s="55"/>
      <c r="D33" s="95"/>
      <c r="E33" s="96"/>
      <c r="F33" t="s" s="97">
        <v>42</v>
      </c>
      <c r="G33" s="98"/>
      <c r="H33" s="99"/>
      <c r="I33" s="96"/>
      <c r="J33" t="s" s="97">
        <v>42</v>
      </c>
      <c r="K33" s="98"/>
      <c r="L33" s="99"/>
      <c r="M33" s="96"/>
      <c r="N33" t="s" s="97">
        <v>42</v>
      </c>
      <c r="O33" s="98"/>
      <c r="P33" s="99"/>
      <c r="Q33" s="96"/>
      <c r="R33" t="s" s="97">
        <v>42</v>
      </c>
      <c r="S33" s="98"/>
      <c r="T33" s="99"/>
      <c r="U33" s="96"/>
      <c r="V33" t="s" s="97">
        <v>42</v>
      </c>
      <c r="W33" s="98"/>
      <c r="X33" s="99"/>
      <c r="Y33" s="96"/>
      <c r="Z33" t="s" s="97">
        <v>42</v>
      </c>
      <c r="AA33" s="98"/>
      <c r="AB33" s="99"/>
    </row>
    <row r="34" ht="63.75" customHeight="1">
      <c r="A34" t="s" s="100">
        <v>78</v>
      </c>
      <c r="B34" t="s" s="100">
        <v>79</v>
      </c>
      <c r="C34" t="s" s="101">
        <v>48</v>
      </c>
      <c r="D34" s="102"/>
      <c r="E34" s="27">
        <v>1</v>
      </c>
      <c r="F34" t="s" s="28">
        <v>80</v>
      </c>
      <c r="G34" s="29"/>
      <c r="H34" t="s" s="64">
        <v>32</v>
      </c>
      <c r="I34" s="27">
        <v>1</v>
      </c>
      <c r="J34" t="s" s="28">
        <v>80</v>
      </c>
      <c r="K34" s="29"/>
      <c r="L34" t="s" s="64">
        <v>32</v>
      </c>
      <c r="M34" s="27">
        <v>1</v>
      </c>
      <c r="N34" t="s" s="28">
        <v>80</v>
      </c>
      <c r="O34" s="29"/>
      <c r="P34" t="s" s="64">
        <v>32</v>
      </c>
      <c r="Q34" s="27">
        <v>1</v>
      </c>
      <c r="R34" t="s" s="28">
        <v>80</v>
      </c>
      <c r="S34" s="29"/>
      <c r="T34" t="s" s="64">
        <v>32</v>
      </c>
      <c r="U34" s="27">
        <v>1</v>
      </c>
      <c r="V34" t="s" s="28">
        <v>80</v>
      </c>
      <c r="W34" s="29"/>
      <c r="X34" t="s" s="64">
        <v>32</v>
      </c>
      <c r="Y34" s="27">
        <v>1</v>
      </c>
      <c r="Z34" t="s" s="28">
        <v>80</v>
      </c>
      <c r="AA34" s="29"/>
      <c r="AB34" t="s" s="64">
        <v>32</v>
      </c>
    </row>
    <row r="35" ht="68" customHeight="1">
      <c r="A35" t="s" s="72">
        <v>81</v>
      </c>
      <c r="B35" t="s" s="73">
        <v>82</v>
      </c>
      <c r="C35" t="s" s="103">
        <v>18</v>
      </c>
      <c r="D35" s="104"/>
      <c r="E35" s="71">
        <v>2</v>
      </c>
      <c r="F35" t="s" s="105">
        <v>83</v>
      </c>
      <c r="G35" t="s" s="105">
        <v>84</v>
      </c>
      <c r="H35" t="s" s="106">
        <v>85</v>
      </c>
      <c r="I35" s="71">
        <v>2</v>
      </c>
      <c r="J35" t="s" s="105">
        <v>83</v>
      </c>
      <c r="K35" t="s" s="105">
        <v>84</v>
      </c>
      <c r="L35" t="s" s="106">
        <v>85</v>
      </c>
      <c r="M35" s="71">
        <v>2</v>
      </c>
      <c r="N35" t="s" s="105">
        <v>83</v>
      </c>
      <c r="O35" t="s" s="105">
        <v>84</v>
      </c>
      <c r="P35" t="s" s="106">
        <v>85</v>
      </c>
      <c r="Q35" s="71">
        <v>2</v>
      </c>
      <c r="R35" t="s" s="105">
        <v>83</v>
      </c>
      <c r="S35" t="s" s="105">
        <v>84</v>
      </c>
      <c r="T35" t="s" s="106">
        <v>85</v>
      </c>
      <c r="U35" s="71">
        <v>2</v>
      </c>
      <c r="V35" t="s" s="105">
        <v>83</v>
      </c>
      <c r="W35" t="s" s="105">
        <v>84</v>
      </c>
      <c r="X35" t="s" s="106">
        <v>85</v>
      </c>
      <c r="Y35" s="71">
        <v>2</v>
      </c>
      <c r="Z35" t="s" s="105">
        <v>83</v>
      </c>
      <c r="AA35" t="s" s="105">
        <v>84</v>
      </c>
      <c r="AB35" t="s" s="106">
        <v>85</v>
      </c>
    </row>
    <row r="36" ht="53.9" customHeight="1">
      <c r="A36" t="s" s="107">
        <v>86</v>
      </c>
      <c r="B36" t="s" s="108">
        <v>87</v>
      </c>
      <c r="C36" s="109"/>
      <c r="D36" s="109"/>
      <c r="E36" s="110">
        <v>4</v>
      </c>
      <c r="F36" t="s" s="111">
        <v>58</v>
      </c>
      <c r="G36" s="112" cm="1">
        <f t="array" ref="G36">$D36*(1.0278-0.0278*14)</f>
        <v>0</v>
      </c>
      <c r="H36" s="113" cm="1">
        <f t="array" ref="H36">$D36*(1.0278-0.0278*12)</f>
        <v>0</v>
      </c>
      <c r="I36" s="110">
        <v>4</v>
      </c>
      <c r="J36" t="s" s="111">
        <v>58</v>
      </c>
      <c r="K36" s="112" cm="1">
        <f t="array" ref="K36">$D36*(1.0278-0.0278*14)</f>
        <v>0</v>
      </c>
      <c r="L36" s="113" cm="1">
        <f t="array" ref="L36">$D36*(1.0278-0.0278*12)</f>
        <v>0</v>
      </c>
      <c r="M36" s="110">
        <v>4</v>
      </c>
      <c r="N36" t="s" s="111">
        <v>58</v>
      </c>
      <c r="O36" s="112" cm="1">
        <f t="array" ref="O36">$D36*(1.0278-0.0278*12)</f>
        <v>0</v>
      </c>
      <c r="P36" s="113" cm="1">
        <f t="array" ref="P36">$D36*(1.0278-0.0278*12)</f>
        <v>0</v>
      </c>
      <c r="Q36" s="110">
        <v>4</v>
      </c>
      <c r="R36" t="s" s="111">
        <v>58</v>
      </c>
      <c r="S36" s="112" cm="1">
        <f t="array" ref="S36">$D36*(1.0278-0.0278*12)</f>
        <v>0</v>
      </c>
      <c r="T36" s="113" cm="1">
        <f t="array" ref="T36">$D36*(1.0278-0.0278*10)</f>
        <v>0</v>
      </c>
      <c r="U36" s="110">
        <v>4</v>
      </c>
      <c r="V36" t="s" s="111">
        <v>58</v>
      </c>
      <c r="W36" s="112" cm="1">
        <f t="array" ref="W36">$D36*(1.0278-0.0278*12)</f>
        <v>0</v>
      </c>
      <c r="X36" s="113" cm="1">
        <f t="array" ref="X36">$D36*(1.0278-0.0278*12)</f>
        <v>0</v>
      </c>
      <c r="Y36" s="110">
        <v>4</v>
      </c>
      <c r="Z36" t="s" s="111">
        <v>58</v>
      </c>
      <c r="AA36" s="112" cm="1">
        <f t="array" ref="AA36">$D36*(1.0278-0.0278*12)</f>
        <v>0</v>
      </c>
      <c r="AB36" s="113" cm="1">
        <f t="array" ref="AB36">$D36*(1.0278-0.0278*10)</f>
        <v>0</v>
      </c>
    </row>
    <row r="37" ht="53.9" customHeight="1">
      <c r="A37" t="s" s="114">
        <v>88</v>
      </c>
      <c r="B37" t="s" s="115">
        <v>89</v>
      </c>
      <c r="C37" t="s" s="116">
        <v>48</v>
      </c>
      <c r="D37" s="117"/>
      <c r="E37" s="71">
        <v>3</v>
      </c>
      <c r="F37" t="s" s="28">
        <v>58</v>
      </c>
      <c r="G37" s="47">
        <v>20</v>
      </c>
      <c r="H37" s="48">
        <v>40</v>
      </c>
      <c r="I37" s="71">
        <v>3</v>
      </c>
      <c r="J37" t="s" s="28">
        <v>58</v>
      </c>
      <c r="K37" s="47">
        <v>20</v>
      </c>
      <c r="L37" s="48">
        <v>40</v>
      </c>
      <c r="M37" s="71">
        <v>3</v>
      </c>
      <c r="N37" t="s" s="28">
        <v>58</v>
      </c>
      <c r="O37" s="47">
        <v>40</v>
      </c>
      <c r="P37" s="48">
        <v>40</v>
      </c>
      <c r="Q37" s="71">
        <v>3</v>
      </c>
      <c r="R37" t="s" s="28">
        <v>58</v>
      </c>
      <c r="S37" s="47">
        <v>40</v>
      </c>
      <c r="T37" s="48">
        <v>60</v>
      </c>
      <c r="U37" s="71">
        <v>3</v>
      </c>
      <c r="V37" t="s" s="28">
        <v>58</v>
      </c>
      <c r="W37" s="47">
        <v>40</v>
      </c>
      <c r="X37" s="48">
        <v>60</v>
      </c>
      <c r="Y37" s="71">
        <v>3</v>
      </c>
      <c r="Z37" t="s" s="28">
        <v>58</v>
      </c>
      <c r="AA37" s="47">
        <v>60</v>
      </c>
      <c r="AB37" s="48">
        <v>60</v>
      </c>
    </row>
    <row r="38" ht="121.65" customHeight="1">
      <c r="A38" t="s" s="118">
        <v>90</v>
      </c>
      <c r="B38" t="s" s="119">
        <v>91</v>
      </c>
      <c r="C38" s="120"/>
      <c r="D38" s="117"/>
      <c r="E38" s="76">
        <v>3</v>
      </c>
      <c r="F38" t="s" s="77">
        <v>92</v>
      </c>
      <c r="G38" t="s" s="28">
        <v>54</v>
      </c>
      <c r="H38" t="s" s="64">
        <v>54</v>
      </c>
      <c r="I38" s="76">
        <v>3</v>
      </c>
      <c r="J38" t="s" s="77">
        <v>92</v>
      </c>
      <c r="K38" t="s" s="28">
        <v>54</v>
      </c>
      <c r="L38" t="s" s="64">
        <v>54</v>
      </c>
      <c r="M38" s="76">
        <v>3</v>
      </c>
      <c r="N38" t="s" s="77">
        <v>92</v>
      </c>
      <c r="O38" t="s" s="28">
        <v>54</v>
      </c>
      <c r="P38" t="s" s="64">
        <v>54</v>
      </c>
      <c r="Q38" s="76">
        <v>3</v>
      </c>
      <c r="R38" t="s" s="77">
        <v>93</v>
      </c>
      <c r="S38" t="s" s="28">
        <v>54</v>
      </c>
      <c r="T38" t="s" s="64">
        <v>54</v>
      </c>
      <c r="U38" s="76">
        <v>3</v>
      </c>
      <c r="V38" t="s" s="77">
        <v>94</v>
      </c>
      <c r="W38" t="s" s="28">
        <v>54</v>
      </c>
      <c r="X38" t="s" s="64">
        <v>54</v>
      </c>
      <c r="Y38" s="76">
        <v>3</v>
      </c>
      <c r="Z38" t="s" s="77">
        <v>93</v>
      </c>
      <c r="AA38" t="s" s="28">
        <v>54</v>
      </c>
      <c r="AB38" t="s" s="64">
        <v>54</v>
      </c>
    </row>
    <row r="39" ht="77.75" customHeight="1">
      <c r="A39" t="s" s="121">
        <v>95</v>
      </c>
      <c r="B39" t="s" s="122">
        <v>96</v>
      </c>
      <c r="C39" t="s" s="123">
        <v>97</v>
      </c>
      <c r="D39" s="124"/>
      <c r="E39" s="76">
        <v>1</v>
      </c>
      <c r="F39" t="s" s="77">
        <v>64</v>
      </c>
      <c r="G39" s="29"/>
      <c r="H39" s="30"/>
      <c r="I39" s="76">
        <v>1</v>
      </c>
      <c r="J39" t="s" s="77">
        <v>64</v>
      </c>
      <c r="K39" s="29"/>
      <c r="L39" s="30"/>
      <c r="M39" s="76">
        <v>1</v>
      </c>
      <c r="N39" t="s" s="77">
        <v>64</v>
      </c>
      <c r="O39" s="29"/>
      <c r="P39" s="30"/>
      <c r="Q39" s="76">
        <v>1</v>
      </c>
      <c r="R39" t="s" s="77">
        <v>64</v>
      </c>
      <c r="S39" s="29"/>
      <c r="T39" s="30"/>
      <c r="U39" s="76">
        <v>1</v>
      </c>
      <c r="V39" t="s" s="77">
        <v>64</v>
      </c>
      <c r="W39" s="29"/>
      <c r="X39" s="30"/>
      <c r="Y39" s="76">
        <v>1</v>
      </c>
      <c r="Z39" t="s" s="77">
        <v>64</v>
      </c>
      <c r="AA39" s="29"/>
      <c r="AB39" s="30"/>
    </row>
    <row r="40" ht="13.65" customHeight="1">
      <c r="A40" s="12"/>
      <c r="B40" s="12"/>
      <c r="C40" s="13"/>
      <c r="D40" s="13"/>
      <c r="E40" s="82"/>
      <c r="F40" s="83"/>
      <c r="G40" s="83"/>
      <c r="H40" s="84"/>
      <c r="I40" s="82"/>
      <c r="J40" s="83"/>
      <c r="K40" s="83"/>
      <c r="L40" s="84"/>
      <c r="M40" s="82"/>
      <c r="N40" s="83"/>
      <c r="O40" s="83"/>
      <c r="P40" s="84"/>
      <c r="Q40" s="82"/>
      <c r="R40" s="83"/>
      <c r="S40" s="83"/>
      <c r="T40" s="84"/>
      <c r="U40" s="82"/>
      <c r="V40" s="83"/>
      <c r="W40" s="83"/>
      <c r="X40" s="84"/>
      <c r="Y40" s="82"/>
      <c r="Z40" s="83"/>
      <c r="AA40" s="83"/>
      <c r="AB40" s="84"/>
    </row>
    <row r="41" ht="37.5" customHeight="1">
      <c r="A41" s="125"/>
      <c r="B41" s="125"/>
      <c r="C41" s="126"/>
      <c r="D41" s="127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</row>
    <row r="42" ht="37.5" customHeight="1">
      <c r="A42" t="s" s="7">
        <v>98</v>
      </c>
      <c r="B42" s="2"/>
      <c r="C42" s="2"/>
      <c r="D42" s="2"/>
      <c r="E42" s="91"/>
      <c r="F42" s="92"/>
      <c r="G42" s="93"/>
      <c r="H42" s="94"/>
      <c r="I42" s="91"/>
      <c r="J42" s="92"/>
      <c r="K42" s="93"/>
      <c r="L42" s="94"/>
      <c r="M42" s="91"/>
      <c r="N42" s="92"/>
      <c r="O42" s="93"/>
      <c r="P42" s="94"/>
      <c r="Q42" s="91"/>
      <c r="R42" s="92"/>
      <c r="S42" s="93"/>
      <c r="T42" s="94"/>
      <c r="U42" s="91"/>
      <c r="V42" s="92"/>
      <c r="W42" s="93"/>
      <c r="X42" s="94"/>
      <c r="Y42" s="91"/>
      <c r="Z42" s="92"/>
      <c r="AA42" s="93"/>
      <c r="AB42" s="94"/>
    </row>
    <row r="43" ht="37.5" customHeight="1">
      <c r="A43" t="s" s="17">
        <v>14</v>
      </c>
      <c r="B43" s="18"/>
      <c r="C43" s="19"/>
      <c r="D43" s="19"/>
      <c r="E43" s="20"/>
      <c r="F43" t="s" s="21">
        <v>99</v>
      </c>
      <c r="G43" s="22"/>
      <c r="H43" s="23"/>
      <c r="I43" s="20"/>
      <c r="J43" t="s" s="21">
        <v>99</v>
      </c>
      <c r="K43" s="22"/>
      <c r="L43" s="23"/>
      <c r="M43" s="20"/>
      <c r="N43" t="s" s="21">
        <v>99</v>
      </c>
      <c r="O43" s="22"/>
      <c r="P43" s="23"/>
      <c r="Q43" s="20"/>
      <c r="R43" t="s" s="21">
        <v>99</v>
      </c>
      <c r="S43" s="22"/>
      <c r="T43" s="23"/>
      <c r="U43" s="20"/>
      <c r="V43" t="s" s="21">
        <v>99</v>
      </c>
      <c r="W43" s="22"/>
      <c r="X43" s="23"/>
      <c r="Y43" s="20"/>
      <c r="Z43" t="s" s="21">
        <v>99</v>
      </c>
      <c r="AA43" s="22"/>
      <c r="AB43" s="23"/>
    </row>
    <row r="44" ht="54.4" customHeight="1">
      <c r="A44" t="s" s="24">
        <v>16</v>
      </c>
      <c r="B44" t="s" s="24">
        <v>17</v>
      </c>
      <c r="C44" t="s" s="25">
        <v>18</v>
      </c>
      <c r="D44" s="26"/>
      <c r="E44" s="27">
        <v>1</v>
      </c>
      <c r="F44" t="s" s="28">
        <v>100</v>
      </c>
      <c r="G44" s="29"/>
      <c r="H44" s="30"/>
      <c r="I44" s="27">
        <v>1</v>
      </c>
      <c r="J44" t="s" s="28">
        <v>100</v>
      </c>
      <c r="K44" s="29"/>
      <c r="L44" s="30"/>
      <c r="M44" s="27">
        <v>1</v>
      </c>
      <c r="N44" t="s" s="28">
        <v>100</v>
      </c>
      <c r="O44" s="29"/>
      <c r="P44" s="30"/>
      <c r="Q44" s="27">
        <v>1</v>
      </c>
      <c r="R44" t="s" s="28">
        <v>100</v>
      </c>
      <c r="S44" s="29"/>
      <c r="T44" s="30"/>
      <c r="U44" s="27">
        <v>1</v>
      </c>
      <c r="V44" t="s" s="28">
        <v>100</v>
      </c>
      <c r="W44" s="29"/>
      <c r="X44" s="30"/>
      <c r="Y44" s="27">
        <v>1</v>
      </c>
      <c r="Z44" t="s" s="28">
        <v>100</v>
      </c>
      <c r="AA44" s="29"/>
      <c r="AB44" s="30"/>
    </row>
    <row r="45" ht="59" customHeight="1">
      <c r="A45" t="s" s="31">
        <v>20</v>
      </c>
      <c r="B45" t="s" s="31">
        <v>17</v>
      </c>
      <c r="C45" t="s" s="32">
        <v>21</v>
      </c>
      <c r="D45" s="33"/>
      <c r="E45" s="27">
        <v>1</v>
      </c>
      <c r="F45" t="s" s="28">
        <v>100</v>
      </c>
      <c r="G45" s="29"/>
      <c r="H45" s="30"/>
      <c r="I45" s="27">
        <v>1</v>
      </c>
      <c r="J45" t="s" s="28">
        <v>100</v>
      </c>
      <c r="K45" s="29"/>
      <c r="L45" s="30"/>
      <c r="M45" s="27">
        <v>1</v>
      </c>
      <c r="N45" t="s" s="28">
        <v>100</v>
      </c>
      <c r="O45" s="29"/>
      <c r="P45" s="30"/>
      <c r="Q45" s="27">
        <v>1</v>
      </c>
      <c r="R45" t="s" s="28">
        <v>100</v>
      </c>
      <c r="S45" s="29"/>
      <c r="T45" s="30"/>
      <c r="U45" s="27">
        <v>1</v>
      </c>
      <c r="V45" t="s" s="28">
        <v>100</v>
      </c>
      <c r="W45" s="29"/>
      <c r="X45" s="30"/>
      <c r="Y45" s="27">
        <v>1</v>
      </c>
      <c r="Z45" t="s" s="28">
        <v>100</v>
      </c>
      <c r="AA45" s="29"/>
      <c r="AB45" s="30"/>
    </row>
    <row r="46" ht="51" customHeight="1">
      <c r="A46" t="s" s="129">
        <v>70</v>
      </c>
      <c r="B46" t="s" s="129">
        <v>71</v>
      </c>
      <c r="C46" t="s" s="130">
        <v>18</v>
      </c>
      <c r="D46" s="33"/>
      <c r="E46" s="27">
        <v>1</v>
      </c>
      <c r="F46" t="s" s="28">
        <v>101</v>
      </c>
      <c r="G46" s="29"/>
      <c r="H46" s="30"/>
      <c r="I46" s="27">
        <v>1</v>
      </c>
      <c r="J46" t="s" s="28">
        <v>101</v>
      </c>
      <c r="K46" s="29"/>
      <c r="L46" s="30"/>
      <c r="M46" s="27">
        <v>1</v>
      </c>
      <c r="N46" t="s" s="28">
        <v>101</v>
      </c>
      <c r="O46" s="29"/>
      <c r="P46" s="30"/>
      <c r="Q46" s="27">
        <v>1</v>
      </c>
      <c r="R46" t="s" s="28">
        <v>101</v>
      </c>
      <c r="S46" s="29"/>
      <c r="T46" s="30"/>
      <c r="U46" s="27">
        <v>1</v>
      </c>
      <c r="V46" t="s" s="28">
        <v>101</v>
      </c>
      <c r="W46" s="29"/>
      <c r="X46" s="30"/>
      <c r="Y46" s="27">
        <v>1</v>
      </c>
      <c r="Z46" t="s" s="28">
        <v>101</v>
      </c>
      <c r="AA46" s="29"/>
      <c r="AB46" s="30"/>
    </row>
    <row r="47" ht="51" customHeight="1">
      <c r="A47" t="s" s="131">
        <v>102</v>
      </c>
      <c r="B47" t="s" s="132">
        <v>103</v>
      </c>
      <c r="C47" t="str" s="133" cm="1">
        <f t="array" ref="C47">HYPERLINK("https://youtu.be/wn-LE0wmNg8?si=JI9-TCcIDtGPHiA3","video")</f>
        <v>video</v>
      </c>
      <c r="D47" s="134"/>
      <c r="E47" s="27">
        <v>2</v>
      </c>
      <c r="F47" t="s" s="28">
        <v>105</v>
      </c>
      <c r="G47" t="s" s="28">
        <v>106</v>
      </c>
      <c r="H47" t="s" s="64">
        <v>107</v>
      </c>
      <c r="I47" s="27">
        <v>2</v>
      </c>
      <c r="J47" t="s" s="28">
        <v>105</v>
      </c>
      <c r="K47" t="s" s="28">
        <v>106</v>
      </c>
      <c r="L47" t="s" s="64">
        <v>107</v>
      </c>
      <c r="M47" s="27">
        <v>2</v>
      </c>
      <c r="N47" t="s" s="28">
        <v>105</v>
      </c>
      <c r="O47" t="s" s="28">
        <v>106</v>
      </c>
      <c r="P47" t="s" s="64">
        <v>107</v>
      </c>
      <c r="Q47" s="27">
        <v>2</v>
      </c>
      <c r="R47" t="s" s="28">
        <v>105</v>
      </c>
      <c r="S47" t="s" s="28">
        <v>106</v>
      </c>
      <c r="T47" t="s" s="64">
        <v>107</v>
      </c>
      <c r="U47" s="27">
        <v>2</v>
      </c>
      <c r="V47" t="s" s="28">
        <v>105</v>
      </c>
      <c r="W47" t="s" s="28">
        <v>106</v>
      </c>
      <c r="X47" t="s" s="64">
        <v>107</v>
      </c>
      <c r="Y47" s="27">
        <v>2</v>
      </c>
      <c r="Z47" t="s" s="28">
        <v>105</v>
      </c>
      <c r="AA47" t="s" s="28">
        <v>106</v>
      </c>
      <c r="AB47" t="s" s="64">
        <v>107</v>
      </c>
    </row>
    <row r="48" ht="162.9" customHeight="1">
      <c r="A48" t="s" s="17">
        <v>108</v>
      </c>
      <c r="B48" t="s" s="17">
        <v>73</v>
      </c>
      <c r="C48" s="19"/>
      <c r="D48" s="95"/>
      <c r="E48" s="96"/>
      <c r="F48" t="s" s="97">
        <v>109</v>
      </c>
      <c r="G48" s="98"/>
      <c r="H48" t="s" s="135">
        <v>32</v>
      </c>
      <c r="I48" s="96"/>
      <c r="J48" t="s" s="97">
        <v>109</v>
      </c>
      <c r="K48" s="98"/>
      <c r="L48" t="s" s="135">
        <v>32</v>
      </c>
      <c r="M48" s="96"/>
      <c r="N48" t="s" s="97">
        <v>109</v>
      </c>
      <c r="O48" s="98"/>
      <c r="P48" t="s" s="135">
        <v>32</v>
      </c>
      <c r="Q48" s="96"/>
      <c r="R48" t="s" s="97">
        <v>109</v>
      </c>
      <c r="S48" s="98"/>
      <c r="T48" t="s" s="135">
        <v>32</v>
      </c>
      <c r="U48" s="96"/>
      <c r="V48" t="s" s="97">
        <v>109</v>
      </c>
      <c r="W48" s="98"/>
      <c r="X48" t="s" s="135">
        <v>32</v>
      </c>
      <c r="Y48" s="96"/>
      <c r="Z48" t="s" s="97">
        <v>109</v>
      </c>
      <c r="AA48" s="98"/>
      <c r="AB48" t="s" s="135">
        <v>32</v>
      </c>
    </row>
    <row r="49" ht="127.2" customHeight="1">
      <c r="A49" t="s" s="136">
        <v>110</v>
      </c>
      <c r="B49" t="s" s="56">
        <v>111</v>
      </c>
      <c r="C49" t="s" s="137">
        <v>57</v>
      </c>
      <c r="D49" s="138"/>
      <c r="E49" s="27">
        <v>4</v>
      </c>
      <c r="F49" t="s" s="28">
        <v>112</v>
      </c>
      <c r="G49" s="47" cm="1">
        <f t="array" ref="G49">$D49*(1.0278-0.0278*8)</f>
        <v>0</v>
      </c>
      <c r="H49" s="48" cm="1">
        <f t="array" ref="H49">$D49*(1.0278-0.0278*8)</f>
        <v>0</v>
      </c>
      <c r="I49" s="27">
        <v>4</v>
      </c>
      <c r="J49" t="s" s="28">
        <v>112</v>
      </c>
      <c r="K49" s="47" cm="1">
        <f t="array" ref="K49">$D49*(1.0278-0.0278*8)</f>
        <v>0</v>
      </c>
      <c r="L49" s="48" cm="1">
        <f t="array" ref="L49">$D49*(1.0278-0.0278*8)</f>
        <v>0</v>
      </c>
      <c r="M49" s="27">
        <v>4</v>
      </c>
      <c r="N49" t="s" s="28">
        <v>112</v>
      </c>
      <c r="O49" s="47" cm="1">
        <f t="array" ref="O49">$D49*(1.0278-0.0278*8)</f>
        <v>0</v>
      </c>
      <c r="P49" s="48" cm="1">
        <f t="array" ref="P49">$D49*(1.0278-0.0278*8)</f>
        <v>0</v>
      </c>
      <c r="Q49" s="27">
        <v>4</v>
      </c>
      <c r="R49" t="s" s="28">
        <v>112</v>
      </c>
      <c r="S49" s="47" cm="1">
        <f t="array" ref="S49">$D49*(1.0278-0.0278*8)</f>
        <v>0</v>
      </c>
      <c r="T49" s="48" cm="1">
        <f t="array" ref="T49">$D49*(1.0278-0.0278*8)</f>
        <v>0</v>
      </c>
      <c r="U49" s="27">
        <v>4</v>
      </c>
      <c r="V49" t="s" s="28">
        <v>112</v>
      </c>
      <c r="W49" s="47" cm="1">
        <f t="array" ref="W49">$D49*(1.0278-0.0278*8)</f>
        <v>0</v>
      </c>
      <c r="X49" s="48" cm="1">
        <f t="array" ref="X49">$D49*(1.0278-0.0278*8)</f>
        <v>0</v>
      </c>
      <c r="Y49" s="27">
        <v>4</v>
      </c>
      <c r="Z49" t="s" s="28">
        <v>112</v>
      </c>
      <c r="AA49" s="47" cm="1">
        <f t="array" ref="AA49">$D49*(1.0278-0.0278*8)</f>
        <v>0</v>
      </c>
      <c r="AB49" s="47" cm="1">
        <f t="array" ref="AB49">$D49*(1.0278-0.0278*8)</f>
        <v>0</v>
      </c>
    </row>
    <row r="50" ht="67.1" customHeight="1">
      <c r="A50" t="s" s="139">
        <v>113</v>
      </c>
      <c r="B50" t="s" s="140">
        <v>114</v>
      </c>
      <c r="C50" t="s" s="141">
        <v>18</v>
      </c>
      <c r="D50" s="142"/>
      <c r="E50" s="27">
        <v>4</v>
      </c>
      <c r="F50" t="s" s="28">
        <v>112</v>
      </c>
      <c r="G50" s="47" cm="1">
        <f t="array" ref="G50">$D50*(1.0278-0.0278*6)</f>
        <v>0</v>
      </c>
      <c r="H50" s="48" cm="1">
        <f t="array" ref="H50">$D50*(1.0278-0.0278*6)</f>
        <v>0</v>
      </c>
      <c r="I50" s="27">
        <v>4</v>
      </c>
      <c r="J50" t="s" s="28">
        <v>112</v>
      </c>
      <c r="K50" s="47" cm="1">
        <f t="array" ref="K50">$D50*(1.0278-0.0278*6)</f>
        <v>0</v>
      </c>
      <c r="L50" s="48" cm="1">
        <f t="array" ref="L50">$D50*(1.0278-0.0278*6)</f>
        <v>0</v>
      </c>
      <c r="M50" s="27">
        <v>4</v>
      </c>
      <c r="N50" t="s" s="28">
        <v>112</v>
      </c>
      <c r="O50" s="47" cm="1">
        <f t="array" ref="O50">$D50*(1.0278-0.0278*6)</f>
        <v>0</v>
      </c>
      <c r="P50" s="48" cm="1">
        <f t="array" ref="P50">$D50*(1.0278-0.0278*6)</f>
        <v>0</v>
      </c>
      <c r="Q50" s="27">
        <v>4</v>
      </c>
      <c r="R50" t="s" s="28">
        <v>112</v>
      </c>
      <c r="S50" s="47" cm="1">
        <f t="array" ref="S50">$D50*(1.0278-0.0278*6)</f>
        <v>0</v>
      </c>
      <c r="T50" s="48" cm="1">
        <f t="array" ref="T50">$D50*(1.0278-0.0278*6)</f>
        <v>0</v>
      </c>
      <c r="U50" s="27">
        <v>4</v>
      </c>
      <c r="V50" t="s" s="28">
        <v>112</v>
      </c>
      <c r="W50" s="47" cm="1">
        <f t="array" ref="W50">$D50*(1.0278-0.0278*6)</f>
        <v>0</v>
      </c>
      <c r="X50" s="48" cm="1">
        <f t="array" ref="X50">$D50*(1.0278-0.0278*6)</f>
        <v>0</v>
      </c>
      <c r="Y50" s="27">
        <v>4</v>
      </c>
      <c r="Z50" t="s" s="28">
        <v>112</v>
      </c>
      <c r="AA50" s="47" cm="1">
        <f t="array" ref="AA50">$D50*(1.0278-0.0278*6)</f>
        <v>0</v>
      </c>
      <c r="AB50" s="47" cm="1">
        <f t="array" ref="AB50">$D50*(1.0278-0.0278*6)</f>
        <v>0</v>
      </c>
    </row>
    <row r="51" ht="174.4" customHeight="1">
      <c r="A51" t="s" s="54">
        <v>115</v>
      </c>
      <c r="B51" t="s" s="17">
        <v>73</v>
      </c>
      <c r="C51" s="55"/>
      <c r="D51" s="95"/>
      <c r="E51" s="96"/>
      <c r="F51" t="s" s="97">
        <v>109</v>
      </c>
      <c r="G51" s="98"/>
      <c r="H51" s="99"/>
      <c r="I51" s="96"/>
      <c r="J51" t="s" s="97">
        <v>109</v>
      </c>
      <c r="K51" s="98"/>
      <c r="L51" s="99"/>
      <c r="M51" s="96"/>
      <c r="N51" t="s" s="97">
        <v>109</v>
      </c>
      <c r="O51" s="98"/>
      <c r="P51" s="99"/>
      <c r="Q51" s="96"/>
      <c r="R51" t="s" s="97">
        <v>109</v>
      </c>
      <c r="S51" s="98"/>
      <c r="T51" s="99"/>
      <c r="U51" s="96"/>
      <c r="V51" t="s" s="97">
        <v>109</v>
      </c>
      <c r="W51" s="98"/>
      <c r="X51" s="99"/>
      <c r="Y51" s="96"/>
      <c r="Z51" t="s" s="97">
        <v>109</v>
      </c>
      <c r="AA51" s="98"/>
      <c r="AB51" s="99"/>
    </row>
    <row r="52" ht="81.3" customHeight="1">
      <c r="A52" t="s" s="136">
        <v>116</v>
      </c>
      <c r="B52" t="s" s="56">
        <v>117</v>
      </c>
      <c r="C52" t="s" s="137">
        <v>57</v>
      </c>
      <c r="D52" s="138"/>
      <c r="E52" s="27">
        <v>4</v>
      </c>
      <c r="F52" t="s" s="28">
        <v>118</v>
      </c>
      <c r="G52" s="47" cm="1">
        <f t="array" ref="G52">$D52*(1.0278-0.0278*8)</f>
        <v>0</v>
      </c>
      <c r="H52" s="48" cm="1">
        <f t="array" ref="H52">$D52*(1.0278-0.0278*7)</f>
        <v>0</v>
      </c>
      <c r="I52" s="27">
        <v>4</v>
      </c>
      <c r="J52" t="s" s="28">
        <v>118</v>
      </c>
      <c r="K52" s="47" cm="1">
        <f t="array" ref="K52">$D52*(1.0278-0.0278*8)</f>
        <v>0</v>
      </c>
      <c r="L52" s="48" cm="1">
        <f t="array" ref="L52">$D52*(1.0278-0.0278*7)</f>
        <v>0</v>
      </c>
      <c r="M52" s="27">
        <v>4</v>
      </c>
      <c r="N52" t="s" s="28">
        <v>118</v>
      </c>
      <c r="O52" s="47" cm="1">
        <f t="array" ref="O52">$D52*(1.0278-0.0278*8)</f>
        <v>0</v>
      </c>
      <c r="P52" s="48" cm="1">
        <f t="array" ref="P52">$D52*(1.0278-0.0278*7)</f>
        <v>0</v>
      </c>
      <c r="Q52" s="27">
        <v>4</v>
      </c>
      <c r="R52" t="s" s="28">
        <v>118</v>
      </c>
      <c r="S52" s="47" cm="1">
        <f t="array" ref="S52">$D52*(1.0278-0.0278*8)</f>
        <v>0</v>
      </c>
      <c r="T52" s="48" cm="1">
        <f t="array" ref="T52">$D52*(1.0278-0.0278*7)</f>
        <v>0</v>
      </c>
      <c r="U52" s="27">
        <v>4</v>
      </c>
      <c r="V52" t="s" s="28">
        <v>118</v>
      </c>
      <c r="W52" s="47" cm="1">
        <f t="array" ref="W52">$D52*(1.0278-0.0278*8)</f>
        <v>0</v>
      </c>
      <c r="X52" s="48" cm="1">
        <f t="array" ref="X52">$D52*(1.0278-0.0278*7)</f>
        <v>0</v>
      </c>
      <c r="Y52" s="27">
        <v>4</v>
      </c>
      <c r="Z52" t="s" s="28">
        <v>118</v>
      </c>
      <c r="AA52" s="47" cm="1">
        <f t="array" ref="AA52">$D52*(1.0278-0.0278*8)</f>
        <v>0</v>
      </c>
      <c r="AB52" s="47" cm="1">
        <f t="array" ref="AB52">$D52*(1.0278-0.0278*7)</f>
        <v>0</v>
      </c>
    </row>
    <row r="53" ht="84.05" customHeight="1">
      <c r="A53" t="s" s="139">
        <v>119</v>
      </c>
      <c r="B53" t="s" s="140">
        <v>120</v>
      </c>
      <c r="C53" t="s" s="141">
        <v>21</v>
      </c>
      <c r="D53" s="142"/>
      <c r="E53" s="39">
        <v>4</v>
      </c>
      <c r="F53" t="s" s="40">
        <v>121</v>
      </c>
      <c r="G53" s="143" cm="1">
        <f t="array" ref="G53">$D53*(1.0278-0.0278*8)</f>
        <v>0</v>
      </c>
      <c r="H53" s="144" cm="1">
        <f t="array" ref="H53">$D53*(1.0278-0.0278*8)</f>
        <v>0</v>
      </c>
      <c r="I53" s="39">
        <v>4</v>
      </c>
      <c r="J53" t="s" s="40">
        <v>121</v>
      </c>
      <c r="K53" s="143" cm="1">
        <f t="array" ref="K53">$D53*(1.0278-0.0278*8)</f>
        <v>0</v>
      </c>
      <c r="L53" s="144" cm="1">
        <f t="array" ref="L53">$D53*(1.0278-0.0278*8)</f>
        <v>0</v>
      </c>
      <c r="M53" s="39">
        <v>4</v>
      </c>
      <c r="N53" t="s" s="40">
        <v>121</v>
      </c>
      <c r="O53" s="143" cm="1">
        <f t="array" ref="O53">$D53*(1.0278-0.0278*8)</f>
        <v>0</v>
      </c>
      <c r="P53" s="144" cm="1">
        <f t="array" ref="P53">$D53*(1.0278-0.0278*8)</f>
        <v>0</v>
      </c>
      <c r="Q53" s="39">
        <v>4</v>
      </c>
      <c r="R53" t="s" s="40">
        <v>121</v>
      </c>
      <c r="S53" s="143" cm="1">
        <f t="array" ref="S53">$D53*(1.0278-0.0278*8)</f>
        <v>0</v>
      </c>
      <c r="T53" s="144" cm="1">
        <f t="array" ref="T53">$D53*(1.0278-0.0278*8)</f>
        <v>0</v>
      </c>
      <c r="U53" s="39">
        <v>4</v>
      </c>
      <c r="V53" t="s" s="40">
        <v>121</v>
      </c>
      <c r="W53" s="143" cm="1">
        <f t="array" ref="W53">$D53*(1.0278-0.0278*8)</f>
        <v>0</v>
      </c>
      <c r="X53" s="144" cm="1">
        <f t="array" ref="X53">$D53*(1.0278-0.0278*8)</f>
        <v>0</v>
      </c>
      <c r="Y53" s="39">
        <v>4</v>
      </c>
      <c r="Z53" t="s" s="40">
        <v>121</v>
      </c>
      <c r="AA53" s="143" cm="1">
        <f t="array" ref="AA53">$D53*(1.0278-0.0278*8)</f>
        <v>0</v>
      </c>
      <c r="AB53" s="143" cm="1">
        <f t="array" ref="AB53">$D53*(1.0278-0.0278*8)</f>
        <v>0</v>
      </c>
    </row>
    <row r="54" ht="18.9" customHeight="1">
      <c r="A54" s="12"/>
      <c r="B54" s="12"/>
      <c r="C54" s="13"/>
      <c r="D54" s="13"/>
      <c r="E54" s="14"/>
      <c r="F54" s="15"/>
      <c r="G54" s="15"/>
      <c r="H54" s="16"/>
      <c r="I54" s="14"/>
      <c r="J54" s="15"/>
      <c r="K54" s="15"/>
      <c r="L54" s="16"/>
      <c r="M54" s="14"/>
      <c r="N54" s="15"/>
      <c r="O54" s="15"/>
      <c r="P54" s="16"/>
      <c r="Q54" s="14"/>
      <c r="R54" s="15"/>
      <c r="S54" s="15"/>
      <c r="T54" s="16"/>
      <c r="U54" s="14"/>
      <c r="V54" s="15"/>
      <c r="W54" s="15"/>
      <c r="X54" s="16"/>
      <c r="Y54" s="14"/>
      <c r="Z54" s="15"/>
      <c r="AA54" s="15"/>
      <c r="AB54" s="16"/>
    </row>
    <row r="55" ht="37.5" customHeight="1">
      <c r="A55" s="145"/>
      <c r="B55" s="145"/>
      <c r="C55" s="146"/>
      <c r="D55" s="147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 ht="15.75" customHeight="1">
      <c r="A56" s="149"/>
      <c r="B56" s="149"/>
      <c r="C56" s="150"/>
      <c r="D56" s="151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</row>
    <row r="57" ht="15.75" customHeight="1">
      <c r="A57" s="149"/>
      <c r="B57" s="149"/>
      <c r="C57" s="150"/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</row>
    <row r="58" ht="15.75" customHeight="1">
      <c r="A58" s="149"/>
      <c r="B58" s="149"/>
      <c r="C58" s="150"/>
      <c r="D58" s="151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</row>
    <row r="59" ht="15.75" customHeight="1">
      <c r="A59" s="149"/>
      <c r="B59" s="149"/>
      <c r="C59" s="150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</row>
    <row r="60" ht="15.75" customHeight="1">
      <c r="A60" s="149"/>
      <c r="B60" s="149"/>
      <c r="C60" s="150"/>
      <c r="D60" s="151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</row>
    <row r="761" ht="15.75" customHeight="1">
      <c r="A761" s="149"/>
      <c r="B761" s="149"/>
      <c r="C761" s="150"/>
      <c r="D761" s="151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</row>
    <row r="762" ht="15.75" customHeight="1">
      <c r="A762" s="149"/>
      <c r="B762" s="149"/>
      <c r="C762" s="150"/>
      <c r="D762" s="151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</row>
    <row r="763" ht="15.75" customHeight="1">
      <c r="A763" s="149"/>
      <c r="B763" s="149"/>
      <c r="C763" s="150"/>
      <c r="D763" s="151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</row>
    <row r="764" ht="15.75" customHeight="1">
      <c r="A764" s="149"/>
      <c r="B764" s="149"/>
      <c r="C764" s="150"/>
      <c r="D764" s="151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</row>
    <row r="765" ht="15.75" customHeight="1">
      <c r="A765" s="149"/>
      <c r="B765" s="149"/>
      <c r="C765" s="150"/>
      <c r="D765" s="151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</row>
    <row r="766" ht="15.75" customHeight="1">
      <c r="A766" s="149"/>
      <c r="B766" s="149"/>
      <c r="C766" s="150"/>
      <c r="D766" s="151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</row>
    <row r="767" ht="15.75" customHeight="1">
      <c r="A767" s="149"/>
      <c r="B767" s="149"/>
      <c r="C767" s="150"/>
      <c r="D767" s="151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</row>
    <row r="768" ht="15.75" customHeight="1">
      <c r="A768" s="149"/>
      <c r="B768" s="149"/>
      <c r="C768" s="150"/>
      <c r="D768" s="151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</row>
    <row r="769" ht="15.75" customHeight="1">
      <c r="A769" s="149"/>
      <c r="B769" s="149"/>
      <c r="C769" s="150"/>
      <c r="D769" s="151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</row>
    <row r="770" ht="15.75" customHeight="1">
      <c r="A770" s="149"/>
      <c r="B770" s="149"/>
      <c r="C770" s="150"/>
      <c r="D770" s="151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</row>
    <row r="771" ht="15.75" customHeight="1">
      <c r="A771" s="149"/>
      <c r="B771" s="149"/>
      <c r="C771" s="150"/>
      <c r="D771" s="151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</row>
    <row r="772" ht="15.75" customHeight="1">
      <c r="A772" s="149"/>
      <c r="B772" s="149"/>
      <c r="C772" s="150"/>
      <c r="D772" s="151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</row>
    <row r="773" ht="15.75" customHeight="1">
      <c r="A773" s="149"/>
      <c r="B773" s="149"/>
      <c r="C773" s="150"/>
      <c r="D773" s="151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</row>
    <row r="774" ht="15.75" customHeight="1">
      <c r="A774" s="149"/>
      <c r="B774" s="149"/>
      <c r="C774" s="150"/>
      <c r="D774" s="151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</row>
    <row r="775" ht="15.75" customHeight="1">
      <c r="A775" s="153"/>
      <c r="B775" s="153"/>
      <c r="C775" s="154"/>
      <c r="D775" s="155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</row>
  </sheetData>
  <mergeCells count="18">
    <mergeCell ref="E23:H23"/>
    <mergeCell ref="E42:H42"/>
    <mergeCell ref="E1:H1"/>
    <mergeCell ref="I23:L23"/>
    <mergeCell ref="I42:L42"/>
    <mergeCell ref="I1:L1"/>
    <mergeCell ref="M23:P23"/>
    <mergeCell ref="M42:P42"/>
    <mergeCell ref="M1:P1"/>
    <mergeCell ref="Q23:T23"/>
    <mergeCell ref="Q42:T42"/>
    <mergeCell ref="Q1:T1"/>
    <mergeCell ref="U23:X23"/>
    <mergeCell ref="U42:X42"/>
    <mergeCell ref="U1:X1"/>
    <mergeCell ref="Y23:AB23"/>
    <mergeCell ref="Y42:AB42"/>
    <mergeCell ref="Y1:AB1"/>
  </mergeCells>
  <hyperlinks>
    <hyperlink ref="C5" r:id="rId1" location="" tooltip="" display="Video"/>
    <hyperlink ref="C6" r:id="rId2" location="" tooltip="" display="video"/>
    <hyperlink ref="C7" r:id="rId3" location="" tooltip="" display="Video"/>
    <hyperlink ref="C8" r:id="rId4" location="" tooltip="" display="External Rotation "/>
    <hyperlink ref="C10" r:id="rId5" location="" tooltip="" display="Video"/>
    <hyperlink ref="C11" r:id="rId6" location="" tooltip="" display="Picture"/>
    <hyperlink ref="C13" r:id="rId7" location="" tooltip="" display="video "/>
    <hyperlink ref="C14" r:id="rId8" location="" tooltip="" display="Video "/>
    <hyperlink ref="C15" r:id="rId9" location="" tooltip="" display="Video "/>
    <hyperlink ref="C16" r:id="rId10" location="" tooltip="" display="GIF "/>
    <hyperlink ref="C17" r:id="rId11" location="" tooltip="" display="Picture "/>
    <hyperlink ref="C19" r:id="rId12" location="" tooltip="" display="GIF "/>
    <hyperlink ref="C25" r:id="rId13" location="" tooltip="" display="Video"/>
    <hyperlink ref="C26" r:id="rId14" location="" tooltip="" display="video"/>
    <hyperlink ref="C27" r:id="rId15" location="" tooltip="" display="Video"/>
    <hyperlink ref="C28" r:id="rId16" location="" tooltip="" display="Video"/>
    <hyperlink ref="C29" r:id="rId17" location="" tooltip="" display="External Rotation "/>
    <hyperlink ref="C31" r:id="rId18" location="" tooltip="" display="Video "/>
    <hyperlink ref="C32" r:id="rId19" location="" tooltip="" display="Picture "/>
    <hyperlink ref="C34" r:id="rId20" location="" tooltip="" display="Video "/>
    <hyperlink ref="C35" r:id="rId21" location="" tooltip="" display="Video"/>
    <hyperlink ref="C37" r:id="rId22" location="" tooltip="" display="Video "/>
    <hyperlink ref="C39" r:id="rId23" location="" tooltip="" display="Picture "/>
    <hyperlink ref="C44" r:id="rId24" location="" tooltip="" display="Video"/>
    <hyperlink ref="C45" r:id="rId25" location="" tooltip="" display="video"/>
    <hyperlink ref="C46" r:id="rId26" location="" tooltip="" display="Video"/>
    <hyperlink ref="C47" r:id="rId27" location="" tooltip="" display="video"/>
    <hyperlink ref="C49" r:id="rId28" location="" tooltip="" display="GIF "/>
    <hyperlink ref="C50" r:id="rId29" location="" tooltip="" display="Video"/>
    <hyperlink ref="C52" r:id="rId30" location="" tooltip="" display="GIF "/>
    <hyperlink ref="C53" r:id="rId31" location="" tooltip="" display="video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776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156" customWidth="1"/>
    <col min="2" max="2" width="21.8516" style="156" customWidth="1"/>
    <col min="3" max="4" width="12.6719" style="156" customWidth="1"/>
    <col min="5" max="5" width="13.3125" style="156" customWidth="1"/>
    <col min="6" max="6" width="18.1797" style="156" customWidth="1"/>
    <col min="7" max="8" width="14.7031" style="156" customWidth="1"/>
    <col min="9" max="9" width="19.9141" style="156" customWidth="1"/>
    <col min="10" max="10" width="16.0625" style="156" customWidth="1"/>
    <col min="11" max="11" width="16.4531" style="156" customWidth="1"/>
    <col min="12" max="12" width="16.3281" style="156" customWidth="1"/>
    <col min="13" max="13" width="22.3516" style="156" customWidth="1"/>
    <col min="14" max="14" width="20.8516" style="156" customWidth="1"/>
    <col min="15" max="15" width="21.3516" style="156" customWidth="1"/>
    <col min="16" max="16" width="20" style="156" customWidth="1"/>
    <col min="17" max="28" width="17.1719" style="156" customWidth="1"/>
    <col min="29" max="16384" width="12.6719" style="156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  <c r="U1" t="s" s="4">
        <v>122</v>
      </c>
      <c r="V1" s="5"/>
      <c r="W1" s="5"/>
      <c r="X1" s="6"/>
      <c r="Y1" t="s" s="4">
        <v>123</v>
      </c>
      <c r="Z1" s="5"/>
      <c r="AA1" s="5"/>
      <c r="AB1" s="6"/>
    </row>
    <row r="2" ht="19.5" customHeight="1">
      <c r="A2" t="s" s="7">
        <v>5</v>
      </c>
      <c r="B2" t="s" s="8">
        <v>6</v>
      </c>
      <c r="C2" t="s" s="8">
        <v>7</v>
      </c>
      <c r="D2" t="s" s="8">
        <v>8</v>
      </c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  <c r="U2" t="s" s="4">
        <v>9</v>
      </c>
      <c r="V2" t="s" s="9">
        <v>10</v>
      </c>
      <c r="W2" t="s" s="9">
        <v>11</v>
      </c>
      <c r="X2" t="s" s="10">
        <v>12</v>
      </c>
      <c r="Y2" t="s" s="4">
        <v>9</v>
      </c>
      <c r="Z2" t="s" s="9">
        <v>10</v>
      </c>
      <c r="AA2" t="s" s="9">
        <v>11</v>
      </c>
      <c r="AB2" t="s" s="10">
        <v>12</v>
      </c>
    </row>
    <row r="3" ht="19.5" customHeight="1">
      <c r="A3" t="s" s="11">
        <v>13</v>
      </c>
      <c r="B3" s="12"/>
      <c r="C3" s="13"/>
      <c r="D3" s="13"/>
      <c r="E3" s="14"/>
      <c r="F3" s="15"/>
      <c r="G3" s="15"/>
      <c r="H3" s="16"/>
      <c r="I3" s="14"/>
      <c r="J3" s="15"/>
      <c r="K3" s="15"/>
      <c r="L3" s="16"/>
      <c r="M3" s="14"/>
      <c r="N3" s="15"/>
      <c r="O3" s="15"/>
      <c r="P3" s="16"/>
      <c r="Q3" s="14"/>
      <c r="R3" s="15"/>
      <c r="S3" s="15"/>
      <c r="T3" s="16"/>
      <c r="U3" s="14"/>
      <c r="V3" s="15"/>
      <c r="W3" s="15"/>
      <c r="X3" s="16"/>
      <c r="Y3" s="14"/>
      <c r="Z3" s="15"/>
      <c r="AA3" s="15"/>
      <c r="AB3" s="16"/>
    </row>
    <row r="4" ht="47" customHeight="1">
      <c r="A4" t="s" s="17">
        <v>14</v>
      </c>
      <c r="B4" s="18"/>
      <c r="C4" s="19"/>
      <c r="D4" s="19"/>
      <c r="E4" s="20"/>
      <c r="F4" t="s" s="21">
        <v>15</v>
      </c>
      <c r="G4" s="22"/>
      <c r="H4" s="23"/>
      <c r="I4" s="20"/>
      <c r="J4" t="s" s="21">
        <v>15</v>
      </c>
      <c r="K4" s="22"/>
      <c r="L4" s="23"/>
      <c r="M4" s="20"/>
      <c r="N4" t="s" s="21">
        <v>15</v>
      </c>
      <c r="O4" s="22"/>
      <c r="P4" s="23"/>
      <c r="Q4" s="20"/>
      <c r="R4" t="s" s="21">
        <v>15</v>
      </c>
      <c r="S4" s="22"/>
      <c r="T4" s="23"/>
      <c r="U4" s="20"/>
      <c r="V4" t="s" s="21">
        <v>15</v>
      </c>
      <c r="W4" s="22"/>
      <c r="X4" s="23"/>
      <c r="Y4" s="20"/>
      <c r="Z4" t="s" s="21">
        <v>15</v>
      </c>
      <c r="AA4" s="22"/>
      <c r="AB4" s="23"/>
    </row>
    <row r="5" ht="62.95" customHeight="1">
      <c r="A5" t="s" s="24">
        <v>16</v>
      </c>
      <c r="B5" t="s" s="24">
        <v>17</v>
      </c>
      <c r="C5" t="s" s="25">
        <v>18</v>
      </c>
      <c r="D5" s="26"/>
      <c r="E5" s="27">
        <v>1</v>
      </c>
      <c r="F5" t="s" s="28">
        <v>19</v>
      </c>
      <c r="G5" s="29"/>
      <c r="H5" s="30"/>
      <c r="I5" s="27">
        <v>1</v>
      </c>
      <c r="J5" t="s" s="28">
        <v>100</v>
      </c>
      <c r="K5" s="29"/>
      <c r="L5" s="30"/>
      <c r="M5" s="27">
        <v>1</v>
      </c>
      <c r="N5" t="s" s="28">
        <v>100</v>
      </c>
      <c r="O5" s="29"/>
      <c r="P5" s="30"/>
      <c r="Q5" s="27">
        <v>1</v>
      </c>
      <c r="R5" t="s" s="28">
        <v>100</v>
      </c>
      <c r="S5" s="29"/>
      <c r="T5" s="30"/>
      <c r="U5" s="27">
        <v>1</v>
      </c>
      <c r="V5" t="s" s="28">
        <v>100</v>
      </c>
      <c r="W5" s="29"/>
      <c r="X5" s="30"/>
      <c r="Y5" s="27">
        <v>1</v>
      </c>
      <c r="Z5" t="s" s="28">
        <v>100</v>
      </c>
      <c r="AA5" s="29"/>
      <c r="AB5" s="30"/>
    </row>
    <row r="6" ht="67.45" customHeight="1">
      <c r="A6" t="s" s="31">
        <v>20</v>
      </c>
      <c r="B6" t="s" s="31">
        <v>17</v>
      </c>
      <c r="C6" t="s" s="32">
        <v>21</v>
      </c>
      <c r="D6" s="33"/>
      <c r="E6" s="27">
        <v>1</v>
      </c>
      <c r="F6" t="s" s="28">
        <v>19</v>
      </c>
      <c r="G6" s="29"/>
      <c r="H6" s="30"/>
      <c r="I6" s="27">
        <v>1</v>
      </c>
      <c r="J6" t="s" s="28">
        <v>100</v>
      </c>
      <c r="K6" s="29"/>
      <c r="L6" s="30"/>
      <c r="M6" s="27">
        <v>1</v>
      </c>
      <c r="N6" t="s" s="28">
        <v>100</v>
      </c>
      <c r="O6" s="29"/>
      <c r="P6" s="30"/>
      <c r="Q6" s="27">
        <v>1</v>
      </c>
      <c r="R6" t="s" s="28">
        <v>100</v>
      </c>
      <c r="S6" s="29"/>
      <c r="T6" s="30"/>
      <c r="U6" s="27">
        <v>1</v>
      </c>
      <c r="V6" t="s" s="28">
        <v>100</v>
      </c>
      <c r="W6" s="29"/>
      <c r="X6" s="30"/>
      <c r="Y6" s="27">
        <v>1</v>
      </c>
      <c r="Z6" t="s" s="28">
        <v>100</v>
      </c>
      <c r="AA6" s="29"/>
      <c r="AB6" s="30"/>
    </row>
    <row r="7" ht="33.4" customHeight="1">
      <c r="A7" t="s" s="31">
        <v>22</v>
      </c>
      <c r="B7" t="s" s="31">
        <v>23</v>
      </c>
      <c r="C7" t="s" s="34">
        <v>18</v>
      </c>
      <c r="D7" s="35"/>
      <c r="E7" s="27">
        <v>1</v>
      </c>
      <c r="F7" t="s" s="28">
        <v>24</v>
      </c>
      <c r="G7" s="29"/>
      <c r="H7" s="30"/>
      <c r="I7" s="27">
        <v>1</v>
      </c>
      <c r="J7" t="s" s="28">
        <v>124</v>
      </c>
      <c r="K7" s="29"/>
      <c r="L7" s="30"/>
      <c r="M7" s="27">
        <v>1</v>
      </c>
      <c r="N7" t="s" s="28">
        <v>124</v>
      </c>
      <c r="O7" s="29"/>
      <c r="P7" s="30"/>
      <c r="Q7" s="27">
        <v>1</v>
      </c>
      <c r="R7" t="s" s="28">
        <v>124</v>
      </c>
      <c r="S7" s="29"/>
      <c r="T7" s="30"/>
      <c r="U7" s="27">
        <v>1</v>
      </c>
      <c r="V7" t="s" s="28">
        <v>124</v>
      </c>
      <c r="W7" s="29"/>
      <c r="X7" s="30"/>
      <c r="Y7" s="27">
        <v>1</v>
      </c>
      <c r="Z7" t="s" s="28">
        <v>124</v>
      </c>
      <c r="AA7" s="29"/>
      <c r="AB7" s="30"/>
    </row>
    <row r="8" ht="72.1" customHeight="1">
      <c r="A8" t="s" s="36">
        <v>25</v>
      </c>
      <c r="B8" t="s" s="36">
        <v>26</v>
      </c>
      <c r="C8" t="s" s="37">
        <v>27</v>
      </c>
      <c r="D8" s="38"/>
      <c r="E8" s="39">
        <v>1</v>
      </c>
      <c r="F8" t="s" s="40">
        <v>28</v>
      </c>
      <c r="G8" s="41"/>
      <c r="H8" s="42"/>
      <c r="I8" s="39">
        <v>1</v>
      </c>
      <c r="J8" t="s" s="40">
        <v>28</v>
      </c>
      <c r="K8" s="41"/>
      <c r="L8" s="42"/>
      <c r="M8" s="39">
        <v>1</v>
      </c>
      <c r="N8" t="s" s="40">
        <v>28</v>
      </c>
      <c r="O8" s="41"/>
      <c r="P8" s="42"/>
      <c r="Q8" s="39">
        <v>1</v>
      </c>
      <c r="R8" t="s" s="40">
        <v>28</v>
      </c>
      <c r="S8" s="41"/>
      <c r="T8" s="42"/>
      <c r="U8" s="39">
        <v>1</v>
      </c>
      <c r="V8" t="s" s="40">
        <v>28</v>
      </c>
      <c r="W8" s="41"/>
      <c r="X8" s="42"/>
      <c r="Y8" s="39">
        <v>1</v>
      </c>
      <c r="Z8" t="s" s="40">
        <v>28</v>
      </c>
      <c r="AA8" s="41"/>
      <c r="AB8" s="42"/>
    </row>
    <row r="9" ht="90.9" customHeight="1">
      <c r="A9" t="s" s="17">
        <v>29</v>
      </c>
      <c r="B9" t="s" s="17">
        <v>30</v>
      </c>
      <c r="C9" s="19"/>
      <c r="D9" s="19"/>
      <c r="E9" s="20"/>
      <c r="F9" t="s" s="21">
        <v>31</v>
      </c>
      <c r="G9" s="22"/>
      <c r="H9" t="s" s="43">
        <v>32</v>
      </c>
      <c r="I9" s="20"/>
      <c r="J9" t="s" s="21">
        <v>125</v>
      </c>
      <c r="K9" s="22"/>
      <c r="L9" t="s" s="43">
        <v>32</v>
      </c>
      <c r="M9" s="20"/>
      <c r="N9" t="s" s="21">
        <v>125</v>
      </c>
      <c r="O9" s="22"/>
      <c r="P9" t="s" s="43">
        <v>32</v>
      </c>
      <c r="Q9" s="20"/>
      <c r="R9" t="s" s="21">
        <v>125</v>
      </c>
      <c r="S9" s="22"/>
      <c r="T9" t="s" s="43">
        <v>32</v>
      </c>
      <c r="U9" s="20"/>
      <c r="V9" t="s" s="21">
        <v>125</v>
      </c>
      <c r="W9" s="22"/>
      <c r="X9" t="s" s="43">
        <v>32</v>
      </c>
      <c r="Y9" s="20"/>
      <c r="Z9" t="s" s="21">
        <v>126</v>
      </c>
      <c r="AA9" s="22"/>
      <c r="AB9" t="s" s="43">
        <v>32</v>
      </c>
    </row>
    <row r="10" ht="85.95" customHeight="1">
      <c r="A10" t="s" s="44">
        <v>127</v>
      </c>
      <c r="B10" t="s" s="44">
        <v>128</v>
      </c>
      <c r="C10" t="s" s="45">
        <v>18</v>
      </c>
      <c r="D10" s="46"/>
      <c r="E10" t="s" s="157">
        <v>129</v>
      </c>
      <c r="F10" t="s" s="28">
        <v>36</v>
      </c>
      <c r="G10" s="47" cm="1">
        <f t="array" ref="G10">$D10*(1.0278-0.0278*8)</f>
        <v>0</v>
      </c>
      <c r="H10" s="48" cm="1">
        <f t="array" ref="H10">$D10*(1.0278-0.0278*8)</f>
        <v>0</v>
      </c>
      <c r="I10" t="s" s="157">
        <v>129</v>
      </c>
      <c r="J10" t="s" s="28">
        <v>36</v>
      </c>
      <c r="K10" s="47" cm="1">
        <f t="array" ref="K10">$D10*(1.0278-0.0278*8)</f>
        <v>0</v>
      </c>
      <c r="L10" s="48" cm="1">
        <f t="array" ref="L10">$D10*(1.0278-0.0278*8)</f>
        <v>0</v>
      </c>
      <c r="M10" t="s" s="157">
        <v>129</v>
      </c>
      <c r="N10" t="s" s="28">
        <v>130</v>
      </c>
      <c r="O10" s="47" cm="1">
        <f t="array" ref="O10">$D10*(1.0278-0.0278*8)</f>
        <v>0</v>
      </c>
      <c r="P10" s="48" cm="1">
        <f t="array" ref="P10">$D10*(1.0278-0.0278*8)</f>
        <v>0</v>
      </c>
      <c r="Q10" t="s" s="157">
        <v>131</v>
      </c>
      <c r="R10" t="s" s="28">
        <v>130</v>
      </c>
      <c r="S10" s="47" cm="1">
        <f t="array" ref="S10">$D10*(1.0278-0.0278*8)</f>
        <v>0</v>
      </c>
      <c r="T10" s="48" cm="1">
        <f t="array" ref="T10">$D10*(1.0278-0.0278*8)</f>
        <v>0</v>
      </c>
      <c r="U10" t="s" s="157">
        <v>131</v>
      </c>
      <c r="V10" t="s" s="28">
        <v>130</v>
      </c>
      <c r="W10" s="47" cm="1">
        <f t="array" ref="W10">$D10*(1.0278-0.0278*8)</f>
        <v>0</v>
      </c>
      <c r="X10" s="48" cm="1">
        <f t="array" ref="X10">$D10*(1.0278-0.0278*8)</f>
        <v>0</v>
      </c>
      <c r="Y10" t="s" s="157">
        <v>129</v>
      </c>
      <c r="Z10" t="s" s="28">
        <v>132</v>
      </c>
      <c r="AA10" s="47" cm="1">
        <f t="array" ref="AA10">$D10*(1.0278-0.0278*8)</f>
        <v>0</v>
      </c>
      <c r="AB10" s="48" cm="1">
        <f t="array" ref="AB10">$D10*(1.0278-0.0278*8)</f>
        <v>0</v>
      </c>
    </row>
    <row r="11" ht="85.95" customHeight="1">
      <c r="A11" t="s" s="49">
        <v>133</v>
      </c>
      <c r="B11" t="s" s="49">
        <v>38</v>
      </c>
      <c r="C11" t="s" s="50">
        <v>48</v>
      </c>
      <c r="D11" s="51"/>
      <c r="E11" s="39">
        <v>2</v>
      </c>
      <c r="F11" s="52">
        <v>0.0006944444444444445</v>
      </c>
      <c r="G11" s="41"/>
      <c r="H11" s="42"/>
      <c r="I11" s="39">
        <v>2</v>
      </c>
      <c r="J11" s="52">
        <v>0.0006944444444444445</v>
      </c>
      <c r="K11" s="41"/>
      <c r="L11" s="42"/>
      <c r="M11" s="39">
        <v>2</v>
      </c>
      <c r="N11" s="53">
        <v>0.001041666666666667</v>
      </c>
      <c r="O11" s="41"/>
      <c r="P11" s="42"/>
      <c r="Q11" s="39">
        <v>3</v>
      </c>
      <c r="R11" s="52">
        <v>0.0006944444444444445</v>
      </c>
      <c r="S11" s="41"/>
      <c r="T11" s="42"/>
      <c r="U11" s="39">
        <v>3</v>
      </c>
      <c r="V11" s="52">
        <v>0.0006944444444444445</v>
      </c>
      <c r="W11" s="41"/>
      <c r="X11" s="42"/>
      <c r="Y11" s="39">
        <v>1</v>
      </c>
      <c r="Z11" s="52">
        <v>0.0006944444444444445</v>
      </c>
      <c r="AA11" s="41"/>
      <c r="AB11" s="42"/>
    </row>
    <row r="12" ht="206.6" customHeight="1">
      <c r="A12" t="s" s="54">
        <v>40</v>
      </c>
      <c r="B12" t="s" s="17">
        <v>41</v>
      </c>
      <c r="C12" s="55"/>
      <c r="D12" s="55"/>
      <c r="E12" s="20"/>
      <c r="F12" t="s" s="21">
        <v>42</v>
      </c>
      <c r="G12" s="22"/>
      <c r="H12" s="23"/>
      <c r="I12" s="20"/>
      <c r="J12" t="s" s="21">
        <v>42</v>
      </c>
      <c r="K12" s="22"/>
      <c r="L12" s="23"/>
      <c r="M12" s="20"/>
      <c r="N12" t="s" s="21">
        <v>42</v>
      </c>
      <c r="O12" s="22"/>
      <c r="P12" s="23"/>
      <c r="Q12" s="20"/>
      <c r="R12" t="s" s="21">
        <v>42</v>
      </c>
      <c r="S12" s="22"/>
      <c r="T12" s="23"/>
      <c r="U12" s="20"/>
      <c r="V12" t="s" s="21">
        <v>42</v>
      </c>
      <c r="W12" s="22"/>
      <c r="X12" s="23"/>
      <c r="Y12" s="20"/>
      <c r="Z12" t="s" s="21">
        <v>42</v>
      </c>
      <c r="AA12" s="22"/>
      <c r="AB12" s="23"/>
    </row>
    <row r="13" ht="95.3" customHeight="1">
      <c r="A13" t="s" s="56">
        <v>134</v>
      </c>
      <c r="B13" t="s" s="56">
        <v>44</v>
      </c>
      <c r="C13" t="s" s="57">
        <v>45</v>
      </c>
      <c r="D13" s="58"/>
      <c r="E13" s="27">
        <v>2</v>
      </c>
      <c r="F13" t="s" s="28">
        <v>135</v>
      </c>
      <c r="G13" s="29"/>
      <c r="H13" s="30"/>
      <c r="I13" s="27">
        <v>2</v>
      </c>
      <c r="J13" t="s" s="28">
        <v>135</v>
      </c>
      <c r="K13" s="29"/>
      <c r="L13" s="30"/>
      <c r="M13" s="27">
        <v>2</v>
      </c>
      <c r="N13" t="s" s="28">
        <v>135</v>
      </c>
      <c r="O13" s="29"/>
      <c r="P13" s="30"/>
      <c r="Q13" s="27">
        <v>2</v>
      </c>
      <c r="R13" t="s" s="28">
        <v>135</v>
      </c>
      <c r="S13" s="29"/>
      <c r="T13" s="30"/>
      <c r="U13" s="27">
        <v>2</v>
      </c>
      <c r="V13" t="s" s="28">
        <v>135</v>
      </c>
      <c r="W13" s="29"/>
      <c r="X13" s="30"/>
      <c r="Y13" s="27">
        <v>2</v>
      </c>
      <c r="Z13" t="s" s="28">
        <v>135</v>
      </c>
      <c r="AA13" s="29"/>
      <c r="AB13" s="30"/>
    </row>
    <row r="14" ht="76.2" customHeight="1">
      <c r="A14" t="s" s="59">
        <v>51</v>
      </c>
      <c r="B14" t="s" s="66">
        <v>52</v>
      </c>
      <c r="C14" t="s" s="61">
        <v>48</v>
      </c>
      <c r="D14" s="62"/>
      <c r="E14" s="27">
        <v>1</v>
      </c>
      <c r="F14" t="s" s="28">
        <v>53</v>
      </c>
      <c r="G14" t="s" s="28">
        <v>54</v>
      </c>
      <c r="H14" t="s" s="64">
        <v>54</v>
      </c>
      <c r="I14" s="27">
        <v>1</v>
      </c>
      <c r="J14" t="s" s="28">
        <v>53</v>
      </c>
      <c r="K14" t="s" s="28">
        <v>54</v>
      </c>
      <c r="L14" t="s" s="64">
        <v>54</v>
      </c>
      <c r="M14" s="27">
        <v>1</v>
      </c>
      <c r="N14" t="s" s="28">
        <v>53</v>
      </c>
      <c r="O14" t="s" s="28">
        <v>54</v>
      </c>
      <c r="P14" t="s" s="64">
        <v>54</v>
      </c>
      <c r="Q14" s="27">
        <v>1</v>
      </c>
      <c r="R14" t="s" s="28">
        <v>53</v>
      </c>
      <c r="S14" t="s" s="28">
        <v>54</v>
      </c>
      <c r="T14" t="s" s="64">
        <v>54</v>
      </c>
      <c r="U14" s="27">
        <v>1</v>
      </c>
      <c r="V14" t="s" s="28">
        <v>53</v>
      </c>
      <c r="W14" t="s" s="28">
        <v>54</v>
      </c>
      <c r="X14" t="s" s="64">
        <v>54</v>
      </c>
      <c r="Y14" s="27">
        <v>1</v>
      </c>
      <c r="Z14" t="s" s="28">
        <v>53</v>
      </c>
      <c r="AA14" t="s" s="28">
        <v>54</v>
      </c>
      <c r="AB14" t="s" s="64">
        <v>54</v>
      </c>
    </row>
    <row r="15" ht="43.9" customHeight="1">
      <c r="A15" t="s" s="59">
        <v>47</v>
      </c>
      <c r="B15" s="60"/>
      <c r="C15" t="s" s="61">
        <v>48</v>
      </c>
      <c r="D15" s="62"/>
      <c r="E15" s="27">
        <v>1</v>
      </c>
      <c r="F15" s="63">
        <v>0.001388888888888889</v>
      </c>
      <c r="G15" t="s" s="28">
        <v>49</v>
      </c>
      <c r="H15" t="s" s="64">
        <v>50</v>
      </c>
      <c r="I15" s="27">
        <v>1</v>
      </c>
      <c r="J15" s="63">
        <v>0.002083333333333333</v>
      </c>
      <c r="K15" t="s" s="28">
        <v>49</v>
      </c>
      <c r="L15" t="s" s="64">
        <v>50</v>
      </c>
      <c r="M15" s="27">
        <v>1</v>
      </c>
      <c r="N15" s="63">
        <v>0.002083333333333333</v>
      </c>
      <c r="O15" t="s" s="28">
        <v>49</v>
      </c>
      <c r="P15" t="s" s="64">
        <v>50</v>
      </c>
      <c r="Q15" s="27">
        <v>2</v>
      </c>
      <c r="R15" s="63">
        <v>0.002083333333333333</v>
      </c>
      <c r="S15" t="s" s="28">
        <v>49</v>
      </c>
      <c r="T15" t="s" s="64">
        <v>50</v>
      </c>
      <c r="U15" s="27">
        <v>2</v>
      </c>
      <c r="V15" s="63">
        <v>0.002083333333333333</v>
      </c>
      <c r="W15" t="s" s="28">
        <v>49</v>
      </c>
      <c r="X15" t="s" s="64">
        <v>50</v>
      </c>
      <c r="Y15" s="27">
        <v>2</v>
      </c>
      <c r="Z15" s="63">
        <v>0.002083333333333333</v>
      </c>
      <c r="AA15" t="s" s="28">
        <v>49</v>
      </c>
      <c r="AB15" t="s" s="64">
        <v>50</v>
      </c>
    </row>
    <row r="16" ht="125.9" customHeight="1">
      <c r="A16" t="s" s="59">
        <v>136</v>
      </c>
      <c r="B16" t="s" s="66">
        <v>56</v>
      </c>
      <c r="C16" t="s" s="61">
        <v>61</v>
      </c>
      <c r="D16" s="62"/>
      <c r="E16" s="27">
        <v>4</v>
      </c>
      <c r="F16" t="s" s="28">
        <v>137</v>
      </c>
      <c r="G16" s="47" cm="1">
        <f t="array" ref="G16">$D16*(1.0278-0.0278*12)</f>
        <v>0</v>
      </c>
      <c r="H16" s="48" cm="1">
        <f t="array" ref="H16">$D16*(1.0278-0.0278*10)</f>
        <v>0</v>
      </c>
      <c r="I16" s="27">
        <v>4</v>
      </c>
      <c r="J16" t="s" s="28">
        <v>137</v>
      </c>
      <c r="K16" s="47" cm="1">
        <f t="array" ref="K16">$D16*(1.0278-0.0278*12)</f>
        <v>0</v>
      </c>
      <c r="L16" s="48" cm="1">
        <f t="array" ref="L16">$D16*(1.0278-0.0278*10)</f>
        <v>0</v>
      </c>
      <c r="M16" s="27">
        <v>4</v>
      </c>
      <c r="N16" t="s" s="28">
        <v>137</v>
      </c>
      <c r="O16" s="47" cm="1">
        <f t="array" ref="O16">$D16*(1.0278-0.0278*10)</f>
        <v>0</v>
      </c>
      <c r="P16" s="48" cm="1">
        <f t="array" ref="P16">$D16*(1.0278-0.0278*10)</f>
        <v>0</v>
      </c>
      <c r="Q16" s="27">
        <v>4</v>
      </c>
      <c r="R16" t="s" s="28">
        <v>137</v>
      </c>
      <c r="S16" s="47" cm="1">
        <f t="array" ref="S16">$D16*(1.0278-0.0278*10)</f>
        <v>0</v>
      </c>
      <c r="T16" s="48" cm="1">
        <f t="array" ref="T16">$D16*(1.0278-0.0278*8)</f>
        <v>0</v>
      </c>
      <c r="U16" s="27">
        <v>4</v>
      </c>
      <c r="V16" t="s" s="28">
        <v>138</v>
      </c>
      <c r="W16" s="47" cm="1">
        <f t="array" ref="W16">$D16*(1.0278-0.0278*10)</f>
        <v>0</v>
      </c>
      <c r="X16" s="48" cm="1">
        <f t="array" ref="X16">$D16*(1.0278-0.0278*8)</f>
        <v>0</v>
      </c>
      <c r="Y16" s="27">
        <v>4</v>
      </c>
      <c r="Z16" t="s" s="28">
        <v>138</v>
      </c>
      <c r="AA16" s="47" cm="1">
        <f t="array" ref="AA16">$D16*(1.0278-0.0278*10)</f>
        <v>0</v>
      </c>
      <c r="AB16" s="48" cm="1">
        <f t="array" ref="AB16">$D16*(1.0278-0.0278*8)</f>
        <v>0</v>
      </c>
    </row>
    <row r="17" ht="116.4" customHeight="1">
      <c r="A17" t="s" s="67">
        <v>139</v>
      </c>
      <c r="B17" t="s" s="68">
        <v>60</v>
      </c>
      <c r="C17" t="s" s="69">
        <v>48</v>
      </c>
      <c r="D17" s="70"/>
      <c r="E17" s="71">
        <v>4</v>
      </c>
      <c r="F17" t="s" s="28">
        <v>137</v>
      </c>
      <c r="G17" s="47" cm="1">
        <f t="array" ref="G17">$D17*(1.0278-0.0278*12)</f>
        <v>0</v>
      </c>
      <c r="H17" s="48" cm="1">
        <f t="array" ref="H17">$D17*(1.0278-0.0278*10)</f>
        <v>0</v>
      </c>
      <c r="I17" s="71">
        <v>4</v>
      </c>
      <c r="J17" t="s" s="28">
        <v>137</v>
      </c>
      <c r="K17" s="47" cm="1">
        <f t="array" ref="K17">$D17*(1.0278-0.0278*12)</f>
        <v>0</v>
      </c>
      <c r="L17" s="48" cm="1">
        <f t="array" ref="L17">$D17*(1.0278-0.0278*10)</f>
        <v>0</v>
      </c>
      <c r="M17" s="71">
        <v>4</v>
      </c>
      <c r="N17" t="s" s="28">
        <v>137</v>
      </c>
      <c r="O17" s="47" cm="1">
        <f t="array" ref="O17">$D17*(1.0278-0.0278*10)</f>
        <v>0</v>
      </c>
      <c r="P17" s="48" cm="1">
        <f t="array" ref="P17">$D17*(1.0278-0.0278*10)</f>
        <v>0</v>
      </c>
      <c r="Q17" s="71">
        <v>4</v>
      </c>
      <c r="R17" t="s" s="28">
        <v>137</v>
      </c>
      <c r="S17" s="47" cm="1">
        <f t="array" ref="S17">$D17*(1.0278-0.0278*10)</f>
        <v>0</v>
      </c>
      <c r="T17" s="48" cm="1">
        <f t="array" ref="T17">$D17*(1.0278-0.0278*8)</f>
        <v>0</v>
      </c>
      <c r="U17" s="71">
        <v>4</v>
      </c>
      <c r="V17" t="s" s="28">
        <v>138</v>
      </c>
      <c r="W17" s="47" cm="1">
        <f t="array" ref="W17">$D17*(1.0278-0.0278*10)</f>
        <v>0</v>
      </c>
      <c r="X17" s="48" cm="1">
        <f t="array" ref="X17">$D17*(1.0278-0.0278*8)</f>
        <v>0</v>
      </c>
      <c r="Y17" s="71">
        <v>4</v>
      </c>
      <c r="Z17" t="s" s="28">
        <v>138</v>
      </c>
      <c r="AA17" s="47" cm="1">
        <f t="array" ref="AA17">$D17*(1.0278-0.0278*10)</f>
        <v>0</v>
      </c>
      <c r="AB17" s="48" cm="1">
        <f t="array" ref="AB17">$D17*(1.0278-0.0278*8)</f>
        <v>0</v>
      </c>
    </row>
    <row r="18" ht="107.9" customHeight="1">
      <c r="A18" t="s" s="72">
        <v>62</v>
      </c>
      <c r="B18" t="s" s="73">
        <v>63</v>
      </c>
      <c r="C18" s="74"/>
      <c r="D18" s="75"/>
      <c r="E18" s="76">
        <v>1</v>
      </c>
      <c r="F18" t="s" s="77">
        <v>64</v>
      </c>
      <c r="G18" s="29"/>
      <c r="H18" s="30"/>
      <c r="I18" s="76">
        <v>1</v>
      </c>
      <c r="J18" t="s" s="77">
        <v>64</v>
      </c>
      <c r="K18" s="29"/>
      <c r="L18" s="30"/>
      <c r="M18" s="76">
        <v>1</v>
      </c>
      <c r="N18" t="s" s="77">
        <v>64</v>
      </c>
      <c r="O18" s="29"/>
      <c r="P18" s="30"/>
      <c r="Q18" s="76">
        <v>1</v>
      </c>
      <c r="R18" t="s" s="77">
        <v>64</v>
      </c>
      <c r="S18" s="29"/>
      <c r="T18" s="30"/>
      <c r="U18" s="76">
        <v>1</v>
      </c>
      <c r="V18" t="s" s="77">
        <v>64</v>
      </c>
      <c r="W18" s="29"/>
      <c r="X18" s="30"/>
      <c r="Y18" s="76">
        <v>1</v>
      </c>
      <c r="Z18" t="s" s="77">
        <v>64</v>
      </c>
      <c r="AA18" s="29"/>
      <c r="AB18" s="30"/>
    </row>
    <row r="19" ht="137.6" customHeight="1">
      <c r="A19" t="s" s="78">
        <v>65</v>
      </c>
      <c r="B19" t="s" s="158">
        <v>140</v>
      </c>
      <c r="C19" t="s" s="80">
        <v>66</v>
      </c>
      <c r="D19" s="81"/>
      <c r="E19" s="76">
        <v>2</v>
      </c>
      <c r="F19" t="s" s="77">
        <v>67</v>
      </c>
      <c r="G19" s="29"/>
      <c r="H19" s="30"/>
      <c r="I19" s="76">
        <v>2</v>
      </c>
      <c r="J19" t="s" s="77">
        <v>67</v>
      </c>
      <c r="K19" s="29"/>
      <c r="L19" s="30"/>
      <c r="M19" s="76">
        <v>2</v>
      </c>
      <c r="N19" t="s" s="77">
        <v>67</v>
      </c>
      <c r="O19" s="29"/>
      <c r="P19" s="30"/>
      <c r="Q19" s="76">
        <v>2</v>
      </c>
      <c r="R19" t="s" s="77">
        <v>67</v>
      </c>
      <c r="S19" s="29"/>
      <c r="T19" s="30"/>
      <c r="U19" s="76">
        <v>2</v>
      </c>
      <c r="V19" t="s" s="77">
        <v>67</v>
      </c>
      <c r="W19" s="29"/>
      <c r="X19" s="30"/>
      <c r="Y19" s="76">
        <v>2</v>
      </c>
      <c r="Z19" t="s" s="77">
        <v>67</v>
      </c>
      <c r="AA19" s="29"/>
      <c r="AB19" s="30"/>
    </row>
    <row r="20" ht="10" customHeight="1">
      <c r="A20" s="12"/>
      <c r="B20" s="12"/>
      <c r="C20" s="13"/>
      <c r="D20" s="13"/>
      <c r="E20" s="82"/>
      <c r="F20" s="83"/>
      <c r="G20" s="83"/>
      <c r="H20" s="84"/>
      <c r="I20" s="82"/>
      <c r="J20" s="83"/>
      <c r="K20" s="83"/>
      <c r="L20" s="84"/>
      <c r="M20" s="82"/>
      <c r="N20" s="83"/>
      <c r="O20" s="83"/>
      <c r="P20" s="84"/>
      <c r="Q20" s="82"/>
      <c r="R20" s="83"/>
      <c r="S20" s="83"/>
      <c r="T20" s="84"/>
      <c r="U20" s="82"/>
      <c r="V20" s="83"/>
      <c r="W20" s="83"/>
      <c r="X20" s="84"/>
      <c r="Y20" s="82"/>
      <c r="Z20" s="83"/>
      <c r="AA20" s="83"/>
      <c r="AB20" s="84"/>
    </row>
    <row r="21" ht="39" customHeight="1">
      <c r="A21" s="85"/>
      <c r="B21" s="22"/>
      <c r="C21" s="23"/>
      <c r="D21" s="20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ht="19.5" customHeight="1">
      <c r="A22" s="87"/>
      <c r="B22" s="88"/>
      <c r="C22" s="89"/>
      <c r="D22" s="9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ht="26" customHeight="1">
      <c r="A23" t="s" s="7">
        <v>68</v>
      </c>
      <c r="B23" s="2"/>
      <c r="C23" s="2"/>
      <c r="D23" s="2"/>
      <c r="E23" s="91"/>
      <c r="F23" s="92"/>
      <c r="G23" s="93"/>
      <c r="H23" s="94"/>
      <c r="I23" s="91"/>
      <c r="J23" s="92"/>
      <c r="K23" s="93"/>
      <c r="L23" s="94"/>
      <c r="M23" s="91"/>
      <c r="N23" s="92"/>
      <c r="O23" s="93"/>
      <c r="P23" s="94"/>
      <c r="Q23" s="91"/>
      <c r="R23" s="92"/>
      <c r="S23" s="93"/>
      <c r="T23" s="94"/>
      <c r="U23" s="91"/>
      <c r="V23" s="92"/>
      <c r="W23" s="93"/>
      <c r="X23" s="94"/>
      <c r="Y23" s="91"/>
      <c r="Z23" s="92"/>
      <c r="AA23" s="93"/>
      <c r="AB23" s="94"/>
    </row>
    <row r="24" ht="68.35" customHeight="1">
      <c r="A24" t="s" s="17">
        <v>14</v>
      </c>
      <c r="B24" s="18"/>
      <c r="C24" s="19"/>
      <c r="D24" s="19"/>
      <c r="E24" s="20"/>
      <c r="F24" t="s" s="21">
        <v>69</v>
      </c>
      <c r="G24" s="22"/>
      <c r="H24" s="23"/>
      <c r="I24" s="20"/>
      <c r="J24" t="s" s="21">
        <v>69</v>
      </c>
      <c r="K24" s="22"/>
      <c r="L24" s="23"/>
      <c r="M24" s="20"/>
      <c r="N24" t="s" s="21">
        <v>69</v>
      </c>
      <c r="O24" s="22"/>
      <c r="P24" s="23"/>
      <c r="Q24" s="20"/>
      <c r="R24" t="s" s="21">
        <v>69</v>
      </c>
      <c r="S24" s="22"/>
      <c r="T24" s="23"/>
      <c r="U24" s="20"/>
      <c r="V24" t="s" s="21">
        <v>69</v>
      </c>
      <c r="W24" s="22"/>
      <c r="X24" s="23"/>
      <c r="Y24" s="20"/>
      <c r="Z24" t="s" s="21">
        <v>69</v>
      </c>
      <c r="AA24" s="22"/>
      <c r="AB24" s="23"/>
    </row>
    <row r="25" ht="36.4" customHeight="1">
      <c r="A25" t="s" s="24">
        <v>16</v>
      </c>
      <c r="B25" t="s" s="24">
        <v>17</v>
      </c>
      <c r="C25" t="s" s="25">
        <v>18</v>
      </c>
      <c r="D25" s="26"/>
      <c r="E25" s="27">
        <v>1</v>
      </c>
      <c r="F25" t="s" s="28">
        <v>19</v>
      </c>
      <c r="G25" s="29"/>
      <c r="H25" s="30"/>
      <c r="I25" s="27">
        <v>1</v>
      </c>
      <c r="J25" t="s" s="28">
        <v>19</v>
      </c>
      <c r="K25" s="29"/>
      <c r="L25" s="30"/>
      <c r="M25" s="27">
        <v>1</v>
      </c>
      <c r="N25" t="s" s="28">
        <v>19</v>
      </c>
      <c r="O25" s="29"/>
      <c r="P25" s="30"/>
      <c r="Q25" s="27">
        <v>1</v>
      </c>
      <c r="R25" t="s" s="28">
        <v>19</v>
      </c>
      <c r="S25" s="29"/>
      <c r="T25" s="30"/>
      <c r="U25" s="27">
        <v>1</v>
      </c>
      <c r="V25" t="s" s="28">
        <v>19</v>
      </c>
      <c r="W25" s="29"/>
      <c r="X25" s="30"/>
      <c r="Y25" s="27">
        <v>1</v>
      </c>
      <c r="Z25" t="s" s="28">
        <v>19</v>
      </c>
      <c r="AA25" s="29"/>
      <c r="AB25" s="30"/>
    </row>
    <row r="26" ht="34.05" customHeight="1">
      <c r="A26" t="s" s="31">
        <v>20</v>
      </c>
      <c r="B26" t="s" s="31">
        <v>17</v>
      </c>
      <c r="C26" t="s" s="32">
        <v>21</v>
      </c>
      <c r="D26" s="33"/>
      <c r="E26" s="27">
        <v>1</v>
      </c>
      <c r="F26" t="s" s="28">
        <v>19</v>
      </c>
      <c r="G26" s="29"/>
      <c r="H26" s="30"/>
      <c r="I26" s="27">
        <v>1</v>
      </c>
      <c r="J26" t="s" s="28">
        <v>19</v>
      </c>
      <c r="K26" s="29"/>
      <c r="L26" s="30"/>
      <c r="M26" s="27">
        <v>1</v>
      </c>
      <c r="N26" t="s" s="28">
        <v>19</v>
      </c>
      <c r="O26" s="29"/>
      <c r="P26" s="30"/>
      <c r="Q26" s="27">
        <v>1</v>
      </c>
      <c r="R26" t="s" s="28">
        <v>19</v>
      </c>
      <c r="S26" s="29"/>
      <c r="T26" s="30"/>
      <c r="U26" s="27">
        <v>1</v>
      </c>
      <c r="V26" t="s" s="28">
        <v>19</v>
      </c>
      <c r="W26" s="29"/>
      <c r="X26" s="30"/>
      <c r="Y26" s="27">
        <v>1</v>
      </c>
      <c r="Z26" t="s" s="28">
        <v>19</v>
      </c>
      <c r="AA26" s="29"/>
      <c r="AB26" s="30"/>
    </row>
    <row r="27" ht="66.9" customHeight="1">
      <c r="A27" t="s" s="31">
        <v>70</v>
      </c>
      <c r="B27" t="s" s="31">
        <v>71</v>
      </c>
      <c r="C27" t="s" s="32">
        <v>18</v>
      </c>
      <c r="D27" s="33"/>
      <c r="E27" s="27">
        <v>1</v>
      </c>
      <c r="F27" t="s" s="28">
        <v>72</v>
      </c>
      <c r="G27" s="29"/>
      <c r="H27" s="30"/>
      <c r="I27" s="27">
        <v>1</v>
      </c>
      <c r="J27" t="s" s="28">
        <v>101</v>
      </c>
      <c r="K27" s="29"/>
      <c r="L27" s="30"/>
      <c r="M27" s="27">
        <v>1</v>
      </c>
      <c r="N27" t="s" s="28">
        <v>101</v>
      </c>
      <c r="O27" s="29"/>
      <c r="P27" s="30"/>
      <c r="Q27" s="27">
        <v>1</v>
      </c>
      <c r="R27" t="s" s="28">
        <v>101</v>
      </c>
      <c r="S27" s="29"/>
      <c r="T27" s="30"/>
      <c r="U27" s="27">
        <v>1</v>
      </c>
      <c r="V27" t="s" s="28">
        <v>101</v>
      </c>
      <c r="W27" s="29"/>
      <c r="X27" s="30"/>
      <c r="Y27" s="27">
        <v>1</v>
      </c>
      <c r="Z27" t="s" s="28">
        <v>101</v>
      </c>
      <c r="AA27" s="29"/>
      <c r="AB27" s="30"/>
    </row>
    <row r="28" ht="43.8" customHeight="1">
      <c r="A28" t="s" s="31">
        <v>22</v>
      </c>
      <c r="B28" t="s" s="31">
        <v>23</v>
      </c>
      <c r="C28" t="s" s="34">
        <v>18</v>
      </c>
      <c r="D28" s="35"/>
      <c r="E28" s="27">
        <v>1</v>
      </c>
      <c r="F28" t="s" s="28">
        <v>24</v>
      </c>
      <c r="G28" s="29"/>
      <c r="H28" s="30"/>
      <c r="I28" s="27">
        <v>1</v>
      </c>
      <c r="J28" t="s" s="28">
        <v>24</v>
      </c>
      <c r="K28" s="29"/>
      <c r="L28" s="30"/>
      <c r="M28" s="27">
        <v>1</v>
      </c>
      <c r="N28" t="s" s="28">
        <v>24</v>
      </c>
      <c r="O28" s="29"/>
      <c r="P28" s="30"/>
      <c r="Q28" s="27">
        <v>1</v>
      </c>
      <c r="R28" t="s" s="28">
        <v>24</v>
      </c>
      <c r="S28" s="29"/>
      <c r="T28" s="30"/>
      <c r="U28" s="27">
        <v>1</v>
      </c>
      <c r="V28" t="s" s="28">
        <v>24</v>
      </c>
      <c r="W28" s="29"/>
      <c r="X28" s="30"/>
      <c r="Y28" s="27">
        <v>1</v>
      </c>
      <c r="Z28" t="s" s="28">
        <v>24</v>
      </c>
      <c r="AA28" s="29"/>
      <c r="AB28" s="30"/>
    </row>
    <row r="29" ht="67.45" customHeight="1">
      <c r="A29" t="s" s="36">
        <v>25</v>
      </c>
      <c r="B29" t="s" s="36">
        <v>26</v>
      </c>
      <c r="C29" t="s" s="37">
        <v>27</v>
      </c>
      <c r="D29" s="38"/>
      <c r="E29" s="39">
        <v>1</v>
      </c>
      <c r="F29" t="s" s="40">
        <v>28</v>
      </c>
      <c r="G29" s="41"/>
      <c r="H29" s="42"/>
      <c r="I29" s="39">
        <v>1</v>
      </c>
      <c r="J29" t="s" s="40">
        <v>28</v>
      </c>
      <c r="K29" s="41"/>
      <c r="L29" s="42"/>
      <c r="M29" s="39">
        <v>1</v>
      </c>
      <c r="N29" t="s" s="40">
        <v>28</v>
      </c>
      <c r="O29" s="41"/>
      <c r="P29" s="42"/>
      <c r="Q29" s="39">
        <v>1</v>
      </c>
      <c r="R29" t="s" s="40">
        <v>28</v>
      </c>
      <c r="S29" s="41"/>
      <c r="T29" s="42"/>
      <c r="U29" s="39">
        <v>1</v>
      </c>
      <c r="V29" t="s" s="40">
        <v>28</v>
      </c>
      <c r="W29" s="41"/>
      <c r="X29" s="42"/>
      <c r="Y29" s="39">
        <v>1</v>
      </c>
      <c r="Z29" t="s" s="40">
        <v>28</v>
      </c>
      <c r="AA29" s="41"/>
      <c r="AB29" s="42"/>
    </row>
    <row r="30" ht="171.15" customHeight="1">
      <c r="A30" t="s" s="17">
        <v>29</v>
      </c>
      <c r="B30" t="s" s="17">
        <v>73</v>
      </c>
      <c r="C30" s="19"/>
      <c r="D30" s="19"/>
      <c r="E30" s="20"/>
      <c r="F30" t="s" s="21">
        <v>74</v>
      </c>
      <c r="G30" s="22"/>
      <c r="H30" t="s" s="43">
        <v>32</v>
      </c>
      <c r="I30" s="20"/>
      <c r="J30" t="s" s="21">
        <v>74</v>
      </c>
      <c r="K30" s="22"/>
      <c r="L30" t="s" s="43">
        <v>32</v>
      </c>
      <c r="M30" s="20"/>
      <c r="N30" t="s" s="21">
        <v>74</v>
      </c>
      <c r="O30" s="22"/>
      <c r="P30" t="s" s="43">
        <v>32</v>
      </c>
      <c r="Q30" s="20"/>
      <c r="R30" t="s" s="21">
        <v>74</v>
      </c>
      <c r="S30" s="22"/>
      <c r="T30" t="s" s="43">
        <v>32</v>
      </c>
      <c r="U30" s="20"/>
      <c r="V30" t="s" s="21">
        <v>74</v>
      </c>
      <c r="W30" s="22"/>
      <c r="X30" t="s" s="43">
        <v>32</v>
      </c>
      <c r="Y30" s="20"/>
      <c r="Z30" t="s" s="21">
        <v>74</v>
      </c>
      <c r="AA30" s="22"/>
      <c r="AB30" t="s" s="43">
        <v>32</v>
      </c>
    </row>
    <row r="31" ht="83.4" customHeight="1">
      <c r="A31" t="s" s="44">
        <v>47</v>
      </c>
      <c r="B31" t="s" s="44">
        <v>38</v>
      </c>
      <c r="C31" t="s" s="159">
        <v>48</v>
      </c>
      <c r="D31" s="46"/>
      <c r="E31" s="27">
        <v>1</v>
      </c>
      <c r="F31" s="63">
        <v>0.001388888888888889</v>
      </c>
      <c r="G31" s="29"/>
      <c r="H31" s="30"/>
      <c r="I31" s="27">
        <v>1</v>
      </c>
      <c r="J31" s="63">
        <v>0.001388888888888889</v>
      </c>
      <c r="K31" s="29"/>
      <c r="L31" s="30"/>
      <c r="M31" s="27">
        <v>1</v>
      </c>
      <c r="N31" s="65">
        <v>0.001736111111111111</v>
      </c>
      <c r="O31" s="29"/>
      <c r="P31" s="30"/>
      <c r="Q31" s="27">
        <v>2</v>
      </c>
      <c r="R31" s="65">
        <v>0.001736111111111111</v>
      </c>
      <c r="S31" s="29"/>
      <c r="T31" s="30"/>
      <c r="U31" s="27">
        <v>2</v>
      </c>
      <c r="V31" s="63">
        <v>0.002083333333333333</v>
      </c>
      <c r="W31" s="29"/>
      <c r="X31" s="30"/>
      <c r="Y31" s="27">
        <v>1</v>
      </c>
      <c r="Z31" s="63">
        <v>0.002083333333333333</v>
      </c>
      <c r="AA31" s="29"/>
      <c r="AB31" s="30"/>
    </row>
    <row r="32" ht="45.95" customHeight="1">
      <c r="A32" t="s" s="49">
        <v>141</v>
      </c>
      <c r="B32" t="s" s="49">
        <v>77</v>
      </c>
      <c r="C32" t="s" s="50">
        <v>48</v>
      </c>
      <c r="D32" s="51"/>
      <c r="E32" s="27">
        <v>1</v>
      </c>
      <c r="F32" t="s" s="28">
        <v>67</v>
      </c>
      <c r="G32" s="29"/>
      <c r="H32" s="30"/>
      <c r="I32" s="27">
        <v>1</v>
      </c>
      <c r="J32" t="s" s="28">
        <v>67</v>
      </c>
      <c r="K32" s="29"/>
      <c r="L32" s="30"/>
      <c r="M32" s="27">
        <v>1</v>
      </c>
      <c r="N32" t="s" s="28">
        <v>142</v>
      </c>
      <c r="O32" s="29"/>
      <c r="P32" s="30"/>
      <c r="Q32" s="27">
        <v>2</v>
      </c>
      <c r="R32" t="s" s="28">
        <v>142</v>
      </c>
      <c r="S32" s="29"/>
      <c r="T32" s="30"/>
      <c r="U32" s="27">
        <v>2</v>
      </c>
      <c r="V32" t="s" s="28">
        <v>143</v>
      </c>
      <c r="W32" s="29"/>
      <c r="X32" s="30"/>
      <c r="Y32" s="27">
        <v>1</v>
      </c>
      <c r="Z32" t="s" s="28">
        <v>143</v>
      </c>
      <c r="AA32" s="29"/>
      <c r="AB32" s="30"/>
    </row>
    <row r="33" ht="171.35" customHeight="1">
      <c r="A33" t="s" s="54">
        <v>40</v>
      </c>
      <c r="B33" t="s" s="54">
        <v>73</v>
      </c>
      <c r="C33" s="55"/>
      <c r="D33" s="95"/>
      <c r="E33" s="96"/>
      <c r="F33" t="s" s="97">
        <v>42</v>
      </c>
      <c r="G33" s="98"/>
      <c r="H33" s="99"/>
      <c r="I33" s="96"/>
      <c r="J33" t="s" s="97">
        <v>42</v>
      </c>
      <c r="K33" s="98"/>
      <c r="L33" s="99"/>
      <c r="M33" s="96"/>
      <c r="N33" t="s" s="97">
        <v>42</v>
      </c>
      <c r="O33" s="98"/>
      <c r="P33" s="99"/>
      <c r="Q33" s="96"/>
      <c r="R33" t="s" s="97">
        <v>42</v>
      </c>
      <c r="S33" s="98"/>
      <c r="T33" s="99"/>
      <c r="U33" s="96"/>
      <c r="V33" t="s" s="97">
        <v>42</v>
      </c>
      <c r="W33" s="98"/>
      <c r="X33" s="99"/>
      <c r="Y33" s="96"/>
      <c r="Z33" t="s" s="97">
        <v>42</v>
      </c>
      <c r="AA33" s="98"/>
      <c r="AB33" s="99"/>
    </row>
    <row r="34" ht="63.75" customHeight="1">
      <c r="A34" t="s" s="100">
        <v>144</v>
      </c>
      <c r="B34" t="s" s="100">
        <v>79</v>
      </c>
      <c r="C34" t="s" s="101">
        <v>48</v>
      </c>
      <c r="D34" s="102"/>
      <c r="E34" s="27">
        <v>1</v>
      </c>
      <c r="F34" t="s" s="28">
        <v>145</v>
      </c>
      <c r="G34" s="29"/>
      <c r="H34" t="s" s="64">
        <v>32</v>
      </c>
      <c r="I34" s="27">
        <v>1</v>
      </c>
      <c r="J34" t="s" s="28">
        <v>145</v>
      </c>
      <c r="K34" s="29"/>
      <c r="L34" t="s" s="64">
        <v>32</v>
      </c>
      <c r="M34" s="27">
        <v>1</v>
      </c>
      <c r="N34" t="s" s="28">
        <v>145</v>
      </c>
      <c r="O34" s="29"/>
      <c r="P34" t="s" s="64">
        <v>32</v>
      </c>
      <c r="Q34" s="27">
        <v>2</v>
      </c>
      <c r="R34" t="s" s="28">
        <v>146</v>
      </c>
      <c r="S34" s="29"/>
      <c r="T34" t="s" s="64">
        <v>32</v>
      </c>
      <c r="U34" s="27">
        <v>2</v>
      </c>
      <c r="V34" t="s" s="28">
        <v>147</v>
      </c>
      <c r="W34" s="29"/>
      <c r="X34" t="s" s="64">
        <v>32</v>
      </c>
      <c r="Y34" s="27">
        <v>1</v>
      </c>
      <c r="Z34" t="s" s="28">
        <v>148</v>
      </c>
      <c r="AA34" s="29"/>
      <c r="AB34" t="s" s="64">
        <v>32</v>
      </c>
    </row>
    <row r="35" ht="68" customHeight="1">
      <c r="A35" t="s" s="72">
        <v>149</v>
      </c>
      <c r="B35" t="s" s="73">
        <v>82</v>
      </c>
      <c r="C35" t="s" s="103">
        <v>61</v>
      </c>
      <c r="D35" s="104"/>
      <c r="E35" s="71">
        <v>2</v>
      </c>
      <c r="F35" t="s" s="105">
        <v>150</v>
      </c>
      <c r="G35" t="s" s="105">
        <v>84</v>
      </c>
      <c r="H35" t="s" s="106">
        <v>85</v>
      </c>
      <c r="I35" s="71">
        <v>3</v>
      </c>
      <c r="J35" t="s" s="105">
        <v>151</v>
      </c>
      <c r="K35" t="s" s="105">
        <v>84</v>
      </c>
      <c r="L35" t="s" s="106">
        <v>85</v>
      </c>
      <c r="M35" s="71">
        <v>3</v>
      </c>
      <c r="N35" t="s" s="105">
        <v>151</v>
      </c>
      <c r="O35" t="s" s="105">
        <v>84</v>
      </c>
      <c r="P35" t="s" s="106">
        <v>85</v>
      </c>
      <c r="Q35" s="71">
        <v>3</v>
      </c>
      <c r="R35" t="s" s="105">
        <v>152</v>
      </c>
      <c r="S35" t="s" s="105">
        <v>84</v>
      </c>
      <c r="T35" t="s" s="106">
        <v>85</v>
      </c>
      <c r="U35" s="71">
        <v>3</v>
      </c>
      <c r="V35" t="s" s="105">
        <v>153</v>
      </c>
      <c r="W35" t="s" s="105">
        <v>84</v>
      </c>
      <c r="X35" t="s" s="106">
        <v>85</v>
      </c>
      <c r="Y35" s="71">
        <v>3</v>
      </c>
      <c r="Z35" t="s" s="105">
        <v>154</v>
      </c>
      <c r="AA35" t="s" s="105">
        <v>84</v>
      </c>
      <c r="AB35" t="s" s="106">
        <v>85</v>
      </c>
    </row>
    <row r="36" ht="97.15" customHeight="1">
      <c r="A36" t="s" s="107">
        <v>155</v>
      </c>
      <c r="B36" t="s" s="108">
        <v>87</v>
      </c>
      <c r="C36" s="109"/>
      <c r="D36" s="109"/>
      <c r="E36" s="110">
        <v>4</v>
      </c>
      <c r="F36" t="s" s="111">
        <v>58</v>
      </c>
      <c r="G36" s="112" cm="1">
        <f t="array" ref="G36">$D36*(1.0278-0.0278*14)</f>
        <v>0</v>
      </c>
      <c r="H36" s="113" cm="1">
        <f t="array" ref="H36">$D36*(1.0278-0.0278*12)</f>
        <v>0</v>
      </c>
      <c r="I36" s="110">
        <v>4</v>
      </c>
      <c r="J36" t="s" s="111">
        <v>58</v>
      </c>
      <c r="K36" s="112" cm="1">
        <f t="array" ref="K36">$D36*(1.0278-0.0278*14)</f>
        <v>0</v>
      </c>
      <c r="L36" s="113" cm="1">
        <f t="array" ref="L36">$D36*(1.0278-0.0278*12)</f>
        <v>0</v>
      </c>
      <c r="M36" s="110">
        <v>4</v>
      </c>
      <c r="N36" t="s" s="111">
        <v>58</v>
      </c>
      <c r="O36" s="112" cm="1">
        <f t="array" ref="O36">$D36*(1.0278-0.0278*12)</f>
        <v>0</v>
      </c>
      <c r="P36" s="113" cm="1">
        <f t="array" ref="P36">$D36*(1.0278-0.0278*12)</f>
        <v>0</v>
      </c>
      <c r="Q36" s="110">
        <v>4</v>
      </c>
      <c r="R36" t="s" s="111">
        <v>58</v>
      </c>
      <c r="S36" s="112" cm="1">
        <f t="array" ref="S36">$D36*(1.0278-0.0278*12)</f>
        <v>0</v>
      </c>
      <c r="T36" s="113" cm="1">
        <f t="array" ref="T36">$D36*(1.0278-0.0278*10)</f>
        <v>0</v>
      </c>
      <c r="U36" s="110">
        <v>4</v>
      </c>
      <c r="V36" t="s" s="111">
        <v>58</v>
      </c>
      <c r="W36" s="112" cm="1">
        <f t="array" ref="W36">$D36*(1.0278-0.0278*12)</f>
        <v>0</v>
      </c>
      <c r="X36" s="113" cm="1">
        <f t="array" ref="X36">$D36*(1.0278-0.0278*12)</f>
        <v>0</v>
      </c>
      <c r="Y36" s="110">
        <v>4</v>
      </c>
      <c r="Z36" t="s" s="111">
        <v>58</v>
      </c>
      <c r="AA36" s="112" cm="1">
        <f t="array" ref="AA36">$D36*(1.0278-0.0278*12)</f>
        <v>0</v>
      </c>
      <c r="AB36" s="113" cm="1">
        <f t="array" ref="AB36">$D36*(1.0278-0.0278*10)</f>
        <v>0</v>
      </c>
    </row>
    <row r="37" ht="53.9" customHeight="1">
      <c r="A37" t="s" s="114">
        <v>88</v>
      </c>
      <c r="B37" t="s" s="115">
        <v>89</v>
      </c>
      <c r="C37" t="s" s="116">
        <v>48</v>
      </c>
      <c r="D37" s="117"/>
      <c r="E37" s="71">
        <v>3</v>
      </c>
      <c r="F37" t="s" s="28">
        <v>58</v>
      </c>
      <c r="G37" s="47">
        <v>60</v>
      </c>
      <c r="H37" s="48">
        <v>60</v>
      </c>
      <c r="I37" s="71">
        <v>3</v>
      </c>
      <c r="J37" t="s" s="28">
        <v>58</v>
      </c>
      <c r="K37" s="47">
        <v>60</v>
      </c>
      <c r="L37" s="48">
        <v>60</v>
      </c>
      <c r="M37" s="71">
        <v>3</v>
      </c>
      <c r="N37" t="s" s="28">
        <v>58</v>
      </c>
      <c r="O37" s="47">
        <v>40</v>
      </c>
      <c r="P37" s="48">
        <v>60</v>
      </c>
      <c r="Q37" s="71">
        <v>3</v>
      </c>
      <c r="R37" t="s" s="28">
        <v>58</v>
      </c>
      <c r="S37" s="47">
        <v>40</v>
      </c>
      <c r="T37" s="48">
        <v>40</v>
      </c>
      <c r="U37" s="71">
        <v>3</v>
      </c>
      <c r="V37" t="s" s="28">
        <v>58</v>
      </c>
      <c r="W37" s="47">
        <v>60</v>
      </c>
      <c r="X37" s="48">
        <v>60</v>
      </c>
      <c r="Y37" s="71">
        <v>3</v>
      </c>
      <c r="Z37" t="s" s="28">
        <v>58</v>
      </c>
      <c r="AA37" s="47">
        <v>60</v>
      </c>
      <c r="AB37" s="48">
        <v>60</v>
      </c>
    </row>
    <row r="38" ht="107.9" customHeight="1">
      <c r="A38" t="s" s="118">
        <v>90</v>
      </c>
      <c r="B38" t="s" s="119">
        <v>91</v>
      </c>
      <c r="C38" s="120"/>
      <c r="D38" s="117"/>
      <c r="E38" s="76">
        <v>1</v>
      </c>
      <c r="F38" t="s" s="77">
        <v>94</v>
      </c>
      <c r="G38" t="s" s="28">
        <v>54</v>
      </c>
      <c r="H38" t="s" s="64">
        <v>54</v>
      </c>
      <c r="I38" s="76">
        <v>3</v>
      </c>
      <c r="J38" t="s" s="77">
        <v>92</v>
      </c>
      <c r="K38" t="s" s="28">
        <v>54</v>
      </c>
      <c r="L38" t="s" s="64">
        <v>54</v>
      </c>
      <c r="M38" s="76">
        <v>3</v>
      </c>
      <c r="N38" t="s" s="77">
        <v>92</v>
      </c>
      <c r="O38" t="s" s="28">
        <v>54</v>
      </c>
      <c r="P38" t="s" s="64">
        <v>54</v>
      </c>
      <c r="Q38" s="76">
        <v>3</v>
      </c>
      <c r="R38" t="s" s="77">
        <v>93</v>
      </c>
      <c r="S38" t="s" s="28">
        <v>54</v>
      </c>
      <c r="T38" t="s" s="64">
        <v>54</v>
      </c>
      <c r="U38" s="76">
        <v>3</v>
      </c>
      <c r="V38" t="s" s="77">
        <v>94</v>
      </c>
      <c r="W38" t="s" s="28">
        <v>54</v>
      </c>
      <c r="X38" t="s" s="64">
        <v>54</v>
      </c>
      <c r="Y38" s="76">
        <v>3</v>
      </c>
      <c r="Z38" t="s" s="77">
        <v>93</v>
      </c>
      <c r="AA38" t="s" s="28">
        <v>54</v>
      </c>
      <c r="AB38" t="s" s="64">
        <v>54</v>
      </c>
    </row>
    <row r="39" ht="84.65" customHeight="1">
      <c r="A39" t="s" s="160">
        <v>156</v>
      </c>
      <c r="B39" s="161"/>
      <c r="C39" t="s" s="162">
        <v>157</v>
      </c>
      <c r="D39" s="117"/>
      <c r="E39" s="76">
        <v>2</v>
      </c>
      <c r="F39" t="s" s="77">
        <v>105</v>
      </c>
      <c r="G39" t="s" s="28">
        <v>158</v>
      </c>
      <c r="H39" t="s" s="64">
        <v>158</v>
      </c>
      <c r="I39" s="76">
        <v>2</v>
      </c>
      <c r="J39" t="s" s="77">
        <v>105</v>
      </c>
      <c r="K39" t="s" s="28">
        <v>158</v>
      </c>
      <c r="L39" t="s" s="64">
        <v>158</v>
      </c>
      <c r="M39" s="76">
        <v>2</v>
      </c>
      <c r="N39" t="s" s="77">
        <v>105</v>
      </c>
      <c r="O39" t="s" s="28">
        <v>158</v>
      </c>
      <c r="P39" t="s" s="64">
        <v>158</v>
      </c>
      <c r="Q39" s="76">
        <v>2</v>
      </c>
      <c r="R39" t="s" s="77">
        <v>105</v>
      </c>
      <c r="S39" t="s" s="28">
        <v>158</v>
      </c>
      <c r="T39" t="s" s="64">
        <v>158</v>
      </c>
      <c r="U39" s="76">
        <v>2</v>
      </c>
      <c r="V39" t="s" s="77">
        <v>105</v>
      </c>
      <c r="W39" t="s" s="28">
        <v>158</v>
      </c>
      <c r="X39" t="s" s="64">
        <v>158</v>
      </c>
      <c r="Y39" s="76">
        <v>2</v>
      </c>
      <c r="Z39" t="s" s="77">
        <v>105</v>
      </c>
      <c r="AA39" t="s" s="28">
        <v>158</v>
      </c>
      <c r="AB39" t="s" s="64">
        <v>158</v>
      </c>
    </row>
    <row r="40" ht="72.4" customHeight="1">
      <c r="A40" t="s" s="121">
        <v>159</v>
      </c>
      <c r="B40" t="s" s="122">
        <v>96</v>
      </c>
      <c r="C40" s="163"/>
      <c r="D40" s="124"/>
      <c r="E40" s="76">
        <v>1</v>
      </c>
      <c r="F40" t="s" s="77">
        <v>64</v>
      </c>
      <c r="G40" s="29"/>
      <c r="H40" s="30"/>
      <c r="I40" s="76">
        <v>1</v>
      </c>
      <c r="J40" t="s" s="77">
        <v>64</v>
      </c>
      <c r="K40" s="29"/>
      <c r="L40" s="30"/>
      <c r="M40" s="76">
        <v>1</v>
      </c>
      <c r="N40" t="s" s="77">
        <v>64</v>
      </c>
      <c r="O40" s="29"/>
      <c r="P40" s="30"/>
      <c r="Q40" s="76">
        <v>1</v>
      </c>
      <c r="R40" t="s" s="77">
        <v>64</v>
      </c>
      <c r="S40" s="29"/>
      <c r="T40" s="30"/>
      <c r="U40" s="76">
        <v>1</v>
      </c>
      <c r="V40" t="s" s="77">
        <v>64</v>
      </c>
      <c r="W40" s="29"/>
      <c r="X40" s="30"/>
      <c r="Y40" s="76">
        <v>1</v>
      </c>
      <c r="Z40" t="s" s="77">
        <v>64</v>
      </c>
      <c r="AA40" s="29"/>
      <c r="AB40" s="30"/>
    </row>
    <row r="41" ht="13.65" customHeight="1">
      <c r="A41" s="12"/>
      <c r="B41" s="12"/>
      <c r="C41" s="13"/>
      <c r="D41" s="13"/>
      <c r="E41" s="82"/>
      <c r="F41" s="83"/>
      <c r="G41" s="83"/>
      <c r="H41" s="84"/>
      <c r="I41" s="82"/>
      <c r="J41" s="83"/>
      <c r="K41" s="83"/>
      <c r="L41" s="84"/>
      <c r="M41" s="82"/>
      <c r="N41" s="83"/>
      <c r="O41" s="83"/>
      <c r="P41" s="84"/>
      <c r="Q41" s="82"/>
      <c r="R41" s="83"/>
      <c r="S41" s="83"/>
      <c r="T41" s="84"/>
      <c r="U41" s="82"/>
      <c r="V41" s="83"/>
      <c r="W41" s="83"/>
      <c r="X41" s="84"/>
      <c r="Y41" s="82"/>
      <c r="Z41" s="83"/>
      <c r="AA41" s="83"/>
      <c r="AB41" s="84"/>
    </row>
    <row r="42" ht="37.5" customHeight="1">
      <c r="A42" s="125"/>
      <c r="B42" s="125"/>
      <c r="C42" s="126"/>
      <c r="D42" s="127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</row>
    <row r="43" ht="37.5" customHeight="1">
      <c r="A43" t="s" s="7">
        <v>98</v>
      </c>
      <c r="B43" s="2"/>
      <c r="C43" s="2"/>
      <c r="D43" s="2"/>
      <c r="E43" s="91"/>
      <c r="F43" s="92"/>
      <c r="G43" s="93"/>
      <c r="H43" s="94"/>
      <c r="I43" s="91"/>
      <c r="J43" s="92"/>
      <c r="K43" s="93"/>
      <c r="L43" s="94"/>
      <c r="M43" s="91"/>
      <c r="N43" s="92"/>
      <c r="O43" s="93"/>
      <c r="P43" s="94"/>
      <c r="Q43" s="91"/>
      <c r="R43" s="92"/>
      <c r="S43" s="93"/>
      <c r="T43" s="94"/>
      <c r="U43" s="91"/>
      <c r="V43" s="92"/>
      <c r="W43" s="93"/>
      <c r="X43" s="94"/>
      <c r="Y43" s="91"/>
      <c r="Z43" s="92"/>
      <c r="AA43" s="93"/>
      <c r="AB43" s="94"/>
    </row>
    <row r="44" ht="37.5" customHeight="1">
      <c r="A44" t="s" s="17">
        <v>14</v>
      </c>
      <c r="B44" s="18"/>
      <c r="C44" s="19"/>
      <c r="D44" s="19"/>
      <c r="E44" s="20"/>
      <c r="F44" t="s" s="21">
        <v>99</v>
      </c>
      <c r="G44" s="22"/>
      <c r="H44" s="23"/>
      <c r="I44" s="20"/>
      <c r="J44" t="s" s="21">
        <v>99</v>
      </c>
      <c r="K44" s="22"/>
      <c r="L44" s="23"/>
      <c r="M44" s="20"/>
      <c r="N44" t="s" s="21">
        <v>99</v>
      </c>
      <c r="O44" s="22"/>
      <c r="P44" s="23"/>
      <c r="Q44" s="20"/>
      <c r="R44" t="s" s="21">
        <v>99</v>
      </c>
      <c r="S44" s="22"/>
      <c r="T44" s="23"/>
      <c r="U44" s="20"/>
      <c r="V44" t="s" s="21">
        <v>99</v>
      </c>
      <c r="W44" s="22"/>
      <c r="X44" s="23"/>
      <c r="Y44" s="20"/>
      <c r="Z44" t="s" s="21">
        <v>99</v>
      </c>
      <c r="AA44" s="22"/>
      <c r="AB44" s="23"/>
    </row>
    <row r="45" ht="54.4" customHeight="1">
      <c r="A45" t="s" s="24">
        <v>16</v>
      </c>
      <c r="B45" t="s" s="24">
        <v>17</v>
      </c>
      <c r="C45" t="s" s="25">
        <v>18</v>
      </c>
      <c r="D45" s="26"/>
      <c r="E45" s="27">
        <v>1</v>
      </c>
      <c r="F45" t="s" s="28">
        <v>100</v>
      </c>
      <c r="G45" s="29"/>
      <c r="H45" s="30"/>
      <c r="I45" s="27">
        <v>1</v>
      </c>
      <c r="J45" t="s" s="28">
        <v>100</v>
      </c>
      <c r="K45" s="29"/>
      <c r="L45" s="30"/>
      <c r="M45" s="27">
        <v>1</v>
      </c>
      <c r="N45" t="s" s="28">
        <v>100</v>
      </c>
      <c r="O45" s="29"/>
      <c r="P45" s="30"/>
      <c r="Q45" s="27">
        <v>1</v>
      </c>
      <c r="R45" t="s" s="28">
        <v>100</v>
      </c>
      <c r="S45" s="29"/>
      <c r="T45" s="30"/>
      <c r="U45" s="27">
        <v>1</v>
      </c>
      <c r="V45" t="s" s="28">
        <v>100</v>
      </c>
      <c r="W45" s="29"/>
      <c r="X45" s="30"/>
      <c r="Y45" s="27">
        <v>1</v>
      </c>
      <c r="Z45" t="s" s="28">
        <v>100</v>
      </c>
      <c r="AA45" s="29"/>
      <c r="AB45" s="30"/>
    </row>
    <row r="46" ht="59" customHeight="1">
      <c r="A46" t="s" s="31">
        <v>20</v>
      </c>
      <c r="B46" t="s" s="31">
        <v>17</v>
      </c>
      <c r="C46" t="s" s="32">
        <v>21</v>
      </c>
      <c r="D46" s="33"/>
      <c r="E46" s="27">
        <v>1</v>
      </c>
      <c r="F46" t="s" s="28">
        <v>100</v>
      </c>
      <c r="G46" s="29"/>
      <c r="H46" s="30"/>
      <c r="I46" s="27">
        <v>1</v>
      </c>
      <c r="J46" t="s" s="28">
        <v>100</v>
      </c>
      <c r="K46" s="29"/>
      <c r="L46" s="30"/>
      <c r="M46" s="27">
        <v>1</v>
      </c>
      <c r="N46" t="s" s="28">
        <v>100</v>
      </c>
      <c r="O46" s="29"/>
      <c r="P46" s="30"/>
      <c r="Q46" s="27">
        <v>1</v>
      </c>
      <c r="R46" t="s" s="28">
        <v>100</v>
      </c>
      <c r="S46" s="29"/>
      <c r="T46" s="30"/>
      <c r="U46" s="27">
        <v>1</v>
      </c>
      <c r="V46" t="s" s="28">
        <v>100</v>
      </c>
      <c r="W46" s="29"/>
      <c r="X46" s="30"/>
      <c r="Y46" s="27">
        <v>1</v>
      </c>
      <c r="Z46" t="s" s="28">
        <v>100</v>
      </c>
      <c r="AA46" s="29"/>
      <c r="AB46" s="30"/>
    </row>
    <row r="47" ht="51" customHeight="1">
      <c r="A47" t="s" s="129">
        <v>70</v>
      </c>
      <c r="B47" t="s" s="129">
        <v>71</v>
      </c>
      <c r="C47" t="s" s="130">
        <v>18</v>
      </c>
      <c r="D47" s="33"/>
      <c r="E47" s="27">
        <v>1</v>
      </c>
      <c r="F47" t="s" s="28">
        <v>101</v>
      </c>
      <c r="G47" s="29"/>
      <c r="H47" s="30"/>
      <c r="I47" s="27">
        <v>1</v>
      </c>
      <c r="J47" t="s" s="28">
        <v>101</v>
      </c>
      <c r="K47" s="29"/>
      <c r="L47" s="30"/>
      <c r="M47" s="27">
        <v>1</v>
      </c>
      <c r="N47" t="s" s="28">
        <v>101</v>
      </c>
      <c r="O47" s="29"/>
      <c r="P47" s="30"/>
      <c r="Q47" s="27">
        <v>1</v>
      </c>
      <c r="R47" t="s" s="28">
        <v>101</v>
      </c>
      <c r="S47" s="29"/>
      <c r="T47" s="30"/>
      <c r="U47" s="27">
        <v>1</v>
      </c>
      <c r="V47" t="s" s="28">
        <v>101</v>
      </c>
      <c r="W47" s="29"/>
      <c r="X47" s="30"/>
      <c r="Y47" s="27">
        <v>1</v>
      </c>
      <c r="Z47" t="s" s="28">
        <v>101</v>
      </c>
      <c r="AA47" s="29"/>
      <c r="AB47" s="30"/>
    </row>
    <row r="48" ht="51" customHeight="1">
      <c r="A48" t="s" s="131">
        <v>102</v>
      </c>
      <c r="B48" t="s" s="132">
        <v>103</v>
      </c>
      <c r="C48" t="str" s="133" cm="1">
        <f t="array" ref="C48">HYPERLINK("https://youtu.be/wn-LE0wmNg8?si=JI9-TCcIDtGPHiA3","video")</f>
        <v>video</v>
      </c>
      <c r="D48" s="134"/>
      <c r="E48" s="27">
        <v>2</v>
      </c>
      <c r="F48" t="s" s="28">
        <v>105</v>
      </c>
      <c r="G48" t="s" s="28">
        <v>106</v>
      </c>
      <c r="H48" t="s" s="64">
        <v>107</v>
      </c>
      <c r="I48" s="27">
        <v>2</v>
      </c>
      <c r="J48" t="s" s="28">
        <v>105</v>
      </c>
      <c r="K48" t="s" s="28">
        <v>106</v>
      </c>
      <c r="L48" t="s" s="64">
        <v>107</v>
      </c>
      <c r="M48" s="27">
        <v>2</v>
      </c>
      <c r="N48" t="s" s="28">
        <v>105</v>
      </c>
      <c r="O48" t="s" s="28">
        <v>106</v>
      </c>
      <c r="P48" t="s" s="64">
        <v>107</v>
      </c>
      <c r="Q48" s="27">
        <v>2</v>
      </c>
      <c r="R48" t="s" s="28">
        <v>105</v>
      </c>
      <c r="S48" t="s" s="28">
        <v>106</v>
      </c>
      <c r="T48" t="s" s="64">
        <v>107</v>
      </c>
      <c r="U48" s="27">
        <v>2</v>
      </c>
      <c r="V48" t="s" s="28">
        <v>105</v>
      </c>
      <c r="W48" t="s" s="28">
        <v>106</v>
      </c>
      <c r="X48" t="s" s="64">
        <v>107</v>
      </c>
      <c r="Y48" s="27">
        <v>2</v>
      </c>
      <c r="Z48" t="s" s="28">
        <v>105</v>
      </c>
      <c r="AA48" t="s" s="28">
        <v>106</v>
      </c>
      <c r="AB48" t="s" s="64">
        <v>107</v>
      </c>
    </row>
    <row r="49" ht="162.9" customHeight="1">
      <c r="A49" t="s" s="17">
        <v>108</v>
      </c>
      <c r="B49" t="s" s="17">
        <v>73</v>
      </c>
      <c r="C49" s="19"/>
      <c r="D49" s="95"/>
      <c r="E49" s="96"/>
      <c r="F49" t="s" s="97">
        <v>109</v>
      </c>
      <c r="G49" s="98"/>
      <c r="H49" t="s" s="135">
        <v>32</v>
      </c>
      <c r="I49" s="96"/>
      <c r="J49" t="s" s="97">
        <v>109</v>
      </c>
      <c r="K49" s="98"/>
      <c r="L49" t="s" s="135">
        <v>32</v>
      </c>
      <c r="M49" s="96"/>
      <c r="N49" t="s" s="97">
        <v>109</v>
      </c>
      <c r="O49" s="98"/>
      <c r="P49" t="s" s="135">
        <v>32</v>
      </c>
      <c r="Q49" s="96"/>
      <c r="R49" t="s" s="97">
        <v>109</v>
      </c>
      <c r="S49" s="98"/>
      <c r="T49" t="s" s="135">
        <v>32</v>
      </c>
      <c r="U49" s="96"/>
      <c r="V49" t="s" s="97">
        <v>109</v>
      </c>
      <c r="W49" s="98"/>
      <c r="X49" t="s" s="135">
        <v>32</v>
      </c>
      <c r="Y49" s="96"/>
      <c r="Z49" t="s" s="97">
        <v>109</v>
      </c>
      <c r="AA49" s="98"/>
      <c r="AB49" t="s" s="135">
        <v>32</v>
      </c>
    </row>
    <row r="50" ht="127.2" customHeight="1">
      <c r="A50" t="s" s="136">
        <v>160</v>
      </c>
      <c r="B50" t="s" s="56">
        <v>161</v>
      </c>
      <c r="C50" t="s" s="137">
        <v>18</v>
      </c>
      <c r="D50" s="138"/>
      <c r="E50" s="27">
        <v>5</v>
      </c>
      <c r="F50" t="s" s="28">
        <v>112</v>
      </c>
      <c r="G50" s="47" cm="1">
        <f t="array" ref="G50">$D50*(1.0278-0.0278*12)</f>
        <v>0</v>
      </c>
      <c r="H50" s="48" cm="1">
        <f t="array" ref="H50">$D50*(1.0278-0.0278*12)</f>
        <v>0</v>
      </c>
      <c r="I50" s="27">
        <v>5</v>
      </c>
      <c r="J50" t="s" s="28">
        <v>112</v>
      </c>
      <c r="K50" s="47" cm="1">
        <f t="array" ref="K50">$D50*(1.0278-0.0278*12)</f>
        <v>0</v>
      </c>
      <c r="L50" s="48" cm="1">
        <f t="array" ref="L50">$D50*(1.0278-0.0278*12)</f>
        <v>0</v>
      </c>
      <c r="M50" s="27">
        <v>5</v>
      </c>
      <c r="N50" t="s" s="28">
        <v>112</v>
      </c>
      <c r="O50" s="47" cm="1">
        <f t="array" ref="O50">$D50*(1.0278-0.0278*12)</f>
        <v>0</v>
      </c>
      <c r="P50" s="48" cm="1">
        <f t="array" ref="P50">$D50*(1.0278-0.0278*12)</f>
        <v>0</v>
      </c>
      <c r="Q50" s="27">
        <v>5</v>
      </c>
      <c r="R50" t="s" s="28">
        <v>162</v>
      </c>
      <c r="S50" s="47" cm="1">
        <f t="array" ref="S50">$D50*(1.0278-0.0278*15)</f>
        <v>0</v>
      </c>
      <c r="T50" s="48" cm="1">
        <f t="array" ref="T50">$D50*(1.0278-0.0278*10)</f>
        <v>0</v>
      </c>
      <c r="U50" s="27">
        <v>5</v>
      </c>
      <c r="V50" t="s" s="28">
        <v>162</v>
      </c>
      <c r="W50" s="47" cm="1">
        <f t="array" ref="W50">$D50*(1.0278-0.0278*12)</f>
        <v>0</v>
      </c>
      <c r="X50" s="48" cm="1">
        <f t="array" ref="X50">$D50*(1.0278-0.0278*10)</f>
        <v>0</v>
      </c>
      <c r="Y50" s="27">
        <v>5</v>
      </c>
      <c r="Z50" t="s" s="28">
        <v>162</v>
      </c>
      <c r="AA50" s="47" cm="1">
        <f t="array" ref="AA50">$D50*(1.0278-0.0278*8)</f>
        <v>0</v>
      </c>
      <c r="AB50" s="48" cm="1">
        <f t="array" ref="AB50">$D50*(1.0278-0.0278*10)</f>
        <v>0</v>
      </c>
    </row>
    <row r="51" ht="67.1" customHeight="1">
      <c r="A51" t="s" s="139">
        <v>113</v>
      </c>
      <c r="B51" t="s" s="140">
        <v>114</v>
      </c>
      <c r="C51" t="s" s="141">
        <v>18</v>
      </c>
      <c r="D51" s="142"/>
      <c r="E51" s="27">
        <v>5</v>
      </c>
      <c r="F51" t="s" s="28">
        <v>112</v>
      </c>
      <c r="G51" s="47" cm="1">
        <f t="array" ref="G51">$D51*(1.0278-0.0278*6)</f>
        <v>0</v>
      </c>
      <c r="H51" s="48" cm="1">
        <f t="array" ref="H51">$D51*(1.0278-0.0278*6)</f>
        <v>0</v>
      </c>
      <c r="I51" s="27">
        <v>5</v>
      </c>
      <c r="J51" t="s" s="28">
        <v>112</v>
      </c>
      <c r="K51" s="47" cm="1">
        <f t="array" ref="K51">$D51*(1.0278-0.0278*6)</f>
        <v>0</v>
      </c>
      <c r="L51" s="48" cm="1">
        <f t="array" ref="L51">$D51*(1.0278-0.0278*6)</f>
        <v>0</v>
      </c>
      <c r="M51" s="27">
        <v>5</v>
      </c>
      <c r="N51" t="s" s="28">
        <v>112</v>
      </c>
      <c r="O51" s="47" cm="1">
        <f t="array" ref="O51">$D51*(1.0278-0.0278*6)</f>
        <v>0</v>
      </c>
      <c r="P51" s="48" cm="1">
        <f t="array" ref="P51">$D51*(1.0278-0.0278*6)</f>
        <v>0</v>
      </c>
      <c r="Q51" s="27">
        <v>5</v>
      </c>
      <c r="R51" t="s" s="28">
        <v>112</v>
      </c>
      <c r="S51" s="47" cm="1">
        <f t="array" ref="S51">$D51*(1.0278-0.0278*6)</f>
        <v>0</v>
      </c>
      <c r="T51" s="48" cm="1">
        <f t="array" ref="T51">$D51*(1.0278-0.0278*6)</f>
        <v>0</v>
      </c>
      <c r="U51" s="27">
        <v>5</v>
      </c>
      <c r="V51" t="s" s="28">
        <v>112</v>
      </c>
      <c r="W51" s="47" cm="1">
        <f t="array" ref="W51">$D51*(1.0278-0.0278*6)</f>
        <v>0</v>
      </c>
      <c r="X51" s="48" cm="1">
        <f t="array" ref="X51">$D51*(1.0278-0.0278*6)</f>
        <v>0</v>
      </c>
      <c r="Y51" s="27">
        <v>5</v>
      </c>
      <c r="Z51" t="s" s="28">
        <v>112</v>
      </c>
      <c r="AA51" s="47" cm="1">
        <f t="array" ref="AA51">$D51*(1.0278-0.0278*6)</f>
        <v>0</v>
      </c>
      <c r="AB51" s="48" cm="1">
        <f t="array" ref="AB51">$D51*(1.0278-0.0278*6)</f>
        <v>0</v>
      </c>
    </row>
    <row r="52" ht="174.4" customHeight="1">
      <c r="A52" t="s" s="54">
        <v>115</v>
      </c>
      <c r="B52" t="s" s="17">
        <v>73</v>
      </c>
      <c r="C52" s="55"/>
      <c r="D52" s="95"/>
      <c r="E52" s="96"/>
      <c r="F52" t="s" s="97">
        <v>109</v>
      </c>
      <c r="G52" s="98"/>
      <c r="H52" s="99"/>
      <c r="I52" s="96"/>
      <c r="J52" t="s" s="97">
        <v>109</v>
      </c>
      <c r="K52" s="98"/>
      <c r="L52" s="99"/>
      <c r="M52" s="96"/>
      <c r="N52" t="s" s="97">
        <v>109</v>
      </c>
      <c r="O52" s="98"/>
      <c r="P52" s="99"/>
      <c r="Q52" s="96"/>
      <c r="R52" t="s" s="97">
        <v>109</v>
      </c>
      <c r="S52" s="98"/>
      <c r="T52" s="99"/>
      <c r="U52" s="96"/>
      <c r="V52" t="s" s="97">
        <v>109</v>
      </c>
      <c r="W52" s="98"/>
      <c r="X52" s="99"/>
      <c r="Y52" s="96"/>
      <c r="Z52" t="s" s="97">
        <v>109</v>
      </c>
      <c r="AA52" s="98"/>
      <c r="AB52" s="99"/>
    </row>
    <row r="53" ht="54.4" customHeight="1">
      <c r="A53" t="s" s="136">
        <v>163</v>
      </c>
      <c r="B53" t="s" s="56">
        <v>164</v>
      </c>
      <c r="C53" t="s" s="137">
        <v>48</v>
      </c>
      <c r="D53" s="138"/>
      <c r="E53" s="27">
        <v>5</v>
      </c>
      <c r="F53" t="s" s="28">
        <v>112</v>
      </c>
      <c r="G53" s="47" cm="1">
        <f t="array" ref="G53">$D53*(1.0278-0.0278*6)</f>
        <v>0</v>
      </c>
      <c r="H53" s="48" cm="1">
        <f t="array" ref="H53">$D53*(1.0278-0.0278*6)</f>
        <v>0</v>
      </c>
      <c r="I53" s="27">
        <v>5</v>
      </c>
      <c r="J53" t="s" s="28">
        <v>112</v>
      </c>
      <c r="K53" s="47" cm="1">
        <f t="array" ref="K53">$D53*(1.0278-0.0278*6)</f>
        <v>0</v>
      </c>
      <c r="L53" s="48" cm="1">
        <f t="array" ref="L53">$D53*(1.0278-0.0278*6)</f>
        <v>0</v>
      </c>
      <c r="M53" s="27">
        <v>5</v>
      </c>
      <c r="N53" t="s" s="28">
        <v>112</v>
      </c>
      <c r="O53" s="47" cm="1">
        <f t="array" ref="O53">$D53*(1.0278-0.0278*6)</f>
        <v>0</v>
      </c>
      <c r="P53" s="48" cm="1">
        <f t="array" ref="P53">$D53*(1.0278-0.0278*6)</f>
        <v>0</v>
      </c>
      <c r="Q53" s="27">
        <v>5</v>
      </c>
      <c r="R53" t="s" s="28">
        <v>112</v>
      </c>
      <c r="S53" s="47" cm="1">
        <f t="array" ref="S53">$D53*(1.0278-0.0278*6)</f>
        <v>0</v>
      </c>
      <c r="T53" s="48" cm="1">
        <f t="array" ref="T53">$D53*(1.0278-0.0278*6)</f>
        <v>0</v>
      </c>
      <c r="U53" s="27">
        <v>5</v>
      </c>
      <c r="V53" t="s" s="28">
        <v>112</v>
      </c>
      <c r="W53" s="47" cm="1">
        <f t="array" ref="W53">$D53*(1.0278-0.0278*6)</f>
        <v>0</v>
      </c>
      <c r="X53" s="48" cm="1">
        <f t="array" ref="X53">$D53*(1.0278-0.0278*6)</f>
        <v>0</v>
      </c>
      <c r="Y53" s="27">
        <v>5</v>
      </c>
      <c r="Z53" t="s" s="28">
        <v>112</v>
      </c>
      <c r="AA53" s="47" cm="1">
        <f t="array" ref="AA53">$D53*(1.0278-0.0278*6)</f>
        <v>0</v>
      </c>
      <c r="AB53" s="48" cm="1">
        <f t="array" ref="AB53">$D53*(1.0278-0.0278*6)</f>
        <v>0</v>
      </c>
    </row>
    <row r="54" ht="84.05" customHeight="1">
      <c r="A54" t="s" s="139">
        <v>119</v>
      </c>
      <c r="B54" t="s" s="140">
        <v>120</v>
      </c>
      <c r="C54" t="s" s="141">
        <v>21</v>
      </c>
      <c r="D54" s="142"/>
      <c r="E54" s="39">
        <v>5</v>
      </c>
      <c r="F54" t="s" s="40">
        <v>121</v>
      </c>
      <c r="G54" s="143" cm="1">
        <f t="array" ref="G54">$D54*(1.0278-0.0278*8)</f>
        <v>0</v>
      </c>
      <c r="H54" s="144" cm="1">
        <f t="array" ref="H54">$D54*(1.0278-0.0278*7)</f>
        <v>0</v>
      </c>
      <c r="I54" s="39">
        <v>5</v>
      </c>
      <c r="J54" t="s" s="40">
        <v>121</v>
      </c>
      <c r="K54" s="143" cm="1">
        <f t="array" ref="K54">$D54*(1.0278-0.0278*8)</f>
        <v>0</v>
      </c>
      <c r="L54" s="144" cm="1">
        <f t="array" ref="L54">$D54*(1.0278-0.0278*8)</f>
        <v>0</v>
      </c>
      <c r="M54" s="39">
        <v>5</v>
      </c>
      <c r="N54" t="s" s="40">
        <v>121</v>
      </c>
      <c r="O54" s="143" cm="1">
        <f t="array" ref="O54">$D54*(1.0278-0.0278*8)</f>
        <v>0</v>
      </c>
      <c r="P54" s="144" cm="1">
        <f t="array" ref="P54">$D54*(1.0278-0.0278*8)</f>
        <v>0</v>
      </c>
      <c r="Q54" s="39">
        <v>5</v>
      </c>
      <c r="R54" t="s" s="40">
        <v>121</v>
      </c>
      <c r="S54" s="143" cm="1">
        <f t="array" ref="S54">$D54*(1.0278-0.0278*8)</f>
        <v>0</v>
      </c>
      <c r="T54" s="144" cm="1">
        <f t="array" ref="T54">$D54*(1.0278-0.0278*6)</f>
        <v>0</v>
      </c>
      <c r="U54" s="39">
        <v>5</v>
      </c>
      <c r="V54" t="s" s="40">
        <v>121</v>
      </c>
      <c r="W54" s="143" cm="1">
        <f t="array" ref="W54">$D54*(1.0278-0.0278*6)</f>
        <v>0</v>
      </c>
      <c r="X54" s="144" cm="1">
        <f t="array" ref="X54">$D54*(1.0278-0.0278*6)</f>
        <v>0</v>
      </c>
      <c r="Y54" s="39">
        <v>5</v>
      </c>
      <c r="Z54" t="s" s="40">
        <v>121</v>
      </c>
      <c r="AA54" s="143" cm="1">
        <f t="array" ref="AA54">$D54*(1.0278-0.0278*6)</f>
        <v>0</v>
      </c>
      <c r="AB54" s="144" cm="1">
        <f t="array" ref="AB54">$D54*(1.0278-0.0278*6)</f>
        <v>0</v>
      </c>
    </row>
    <row r="55" ht="18.9" customHeight="1">
      <c r="A55" s="12"/>
      <c r="B55" s="12"/>
      <c r="C55" s="13"/>
      <c r="D55" s="13"/>
      <c r="E55" s="14"/>
      <c r="F55" s="15"/>
      <c r="G55" s="15"/>
      <c r="H55" s="16"/>
      <c r="I55" s="14"/>
      <c r="J55" s="15"/>
      <c r="K55" s="15"/>
      <c r="L55" s="16"/>
      <c r="M55" s="14"/>
      <c r="N55" s="15"/>
      <c r="O55" s="15"/>
      <c r="P55" s="16"/>
      <c r="Q55" s="14"/>
      <c r="R55" s="15"/>
      <c r="S55" s="15"/>
      <c r="T55" s="16"/>
      <c r="U55" s="14"/>
      <c r="V55" s="15"/>
      <c r="W55" s="15"/>
      <c r="X55" s="16"/>
      <c r="Y55" s="14"/>
      <c r="Z55" s="15"/>
      <c r="AA55" s="15"/>
      <c r="AB55" s="16"/>
    </row>
    <row r="56" ht="37.5" customHeight="1">
      <c r="A56" s="145"/>
      <c r="B56" s="145"/>
      <c r="C56" s="146"/>
      <c r="D56" s="147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 ht="15.75" customHeight="1">
      <c r="A57" s="149"/>
      <c r="B57" s="149"/>
      <c r="C57" s="150"/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</row>
    <row r="58" ht="15.75" customHeight="1">
      <c r="A58" s="149"/>
      <c r="B58" s="149"/>
      <c r="C58" s="150"/>
      <c r="D58" s="151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</row>
    <row r="59" ht="15.75" customHeight="1">
      <c r="A59" s="149"/>
      <c r="B59" s="149"/>
      <c r="C59" s="150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</row>
    <row r="60" ht="15.75" customHeight="1">
      <c r="A60" s="149"/>
      <c r="B60" s="149"/>
      <c r="C60" s="150"/>
      <c r="D60" s="151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</row>
    <row r="761" ht="15.75" customHeight="1">
      <c r="A761" s="149"/>
      <c r="B761" s="149"/>
      <c r="C761" s="150"/>
      <c r="D761" s="151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</row>
    <row r="762" ht="15.75" customHeight="1">
      <c r="A762" s="149"/>
      <c r="B762" s="149"/>
      <c r="C762" s="150"/>
      <c r="D762" s="151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</row>
    <row r="763" ht="15.75" customHeight="1">
      <c r="A763" s="149"/>
      <c r="B763" s="149"/>
      <c r="C763" s="150"/>
      <c r="D763" s="151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</row>
    <row r="764" ht="15.75" customHeight="1">
      <c r="A764" s="149"/>
      <c r="B764" s="149"/>
      <c r="C764" s="150"/>
      <c r="D764" s="151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</row>
    <row r="765" ht="15.75" customHeight="1">
      <c r="A765" s="149"/>
      <c r="B765" s="149"/>
      <c r="C765" s="150"/>
      <c r="D765" s="151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</row>
    <row r="766" ht="15.75" customHeight="1">
      <c r="A766" s="149"/>
      <c r="B766" s="149"/>
      <c r="C766" s="150"/>
      <c r="D766" s="151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</row>
    <row r="767" ht="15.75" customHeight="1">
      <c r="A767" s="149"/>
      <c r="B767" s="149"/>
      <c r="C767" s="150"/>
      <c r="D767" s="151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</row>
    <row r="768" ht="15.75" customHeight="1">
      <c r="A768" s="149"/>
      <c r="B768" s="149"/>
      <c r="C768" s="150"/>
      <c r="D768" s="151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</row>
    <row r="769" ht="15.75" customHeight="1">
      <c r="A769" s="149"/>
      <c r="B769" s="149"/>
      <c r="C769" s="150"/>
      <c r="D769" s="151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</row>
    <row r="770" ht="15.75" customHeight="1">
      <c r="A770" s="149"/>
      <c r="B770" s="149"/>
      <c r="C770" s="150"/>
      <c r="D770" s="151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</row>
    <row r="771" ht="15.75" customHeight="1">
      <c r="A771" s="149"/>
      <c r="B771" s="149"/>
      <c r="C771" s="150"/>
      <c r="D771" s="151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</row>
    <row r="772" ht="15.75" customHeight="1">
      <c r="A772" s="149"/>
      <c r="B772" s="149"/>
      <c r="C772" s="150"/>
      <c r="D772" s="151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</row>
    <row r="773" ht="15.75" customHeight="1">
      <c r="A773" s="149"/>
      <c r="B773" s="149"/>
      <c r="C773" s="150"/>
      <c r="D773" s="151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</row>
    <row r="774" ht="15.75" customHeight="1">
      <c r="A774" s="149"/>
      <c r="B774" s="149"/>
      <c r="C774" s="150"/>
      <c r="D774" s="151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</row>
    <row r="775" ht="15.75" customHeight="1">
      <c r="A775" s="149"/>
      <c r="B775" s="149"/>
      <c r="C775" s="150"/>
      <c r="D775" s="151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</row>
    <row r="776" ht="15.75" customHeight="1">
      <c r="A776" s="153"/>
      <c r="B776" s="153"/>
      <c r="C776" s="154"/>
      <c r="D776" s="155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</row>
  </sheetData>
  <mergeCells count="18">
    <mergeCell ref="E23:H23"/>
    <mergeCell ref="E43:H43"/>
    <mergeCell ref="E1:H1"/>
    <mergeCell ref="I23:L23"/>
    <mergeCell ref="I43:L43"/>
    <mergeCell ref="I1:L1"/>
    <mergeCell ref="M23:P23"/>
    <mergeCell ref="M43:P43"/>
    <mergeCell ref="M1:P1"/>
    <mergeCell ref="Q23:T23"/>
    <mergeCell ref="Q43:T43"/>
    <mergeCell ref="Q1:T1"/>
    <mergeCell ref="U23:X23"/>
    <mergeCell ref="U43:X43"/>
    <mergeCell ref="U1:X1"/>
    <mergeCell ref="Y23:AB23"/>
    <mergeCell ref="Y43:AB43"/>
    <mergeCell ref="Y1:AB1"/>
  </mergeCells>
  <hyperlinks>
    <hyperlink ref="C5" r:id="rId1" location="" tooltip="" display="Video"/>
    <hyperlink ref="C6" r:id="rId2" location="" tooltip="" display="video"/>
    <hyperlink ref="C7" r:id="rId3" location="" tooltip="" display="Video"/>
    <hyperlink ref="C8" r:id="rId4" location="" tooltip="" display="External Rotation "/>
    <hyperlink ref="C10" r:id="rId5" location="" tooltip="" display="Video"/>
    <hyperlink ref="C11" r:id="rId6" location="" tooltip="" display="Video "/>
    <hyperlink ref="C13" r:id="rId7" location="" tooltip="" display="video "/>
    <hyperlink ref="C14" r:id="rId8" location="" tooltip="" display="Video "/>
    <hyperlink ref="C15" r:id="rId9" location="" tooltip="" display="Video "/>
    <hyperlink ref="C16" r:id="rId10" location="" tooltip="" display="Picture "/>
    <hyperlink ref="C17" r:id="rId11" location="" tooltip="" display="Video "/>
    <hyperlink ref="C19" r:id="rId12" location="" tooltip="" display="GIF "/>
    <hyperlink ref="C25" r:id="rId13" location="" tooltip="" display="Video"/>
    <hyperlink ref="C26" r:id="rId14" location="" tooltip="" display="video"/>
    <hyperlink ref="C27" r:id="rId15" location="" tooltip="" display="Video"/>
    <hyperlink ref="C28" r:id="rId16" location="" tooltip="" display="Video"/>
    <hyperlink ref="C29" r:id="rId17" location="" tooltip="" display="External Rotation "/>
    <hyperlink ref="C31" r:id="rId18" location="" tooltip="" display="Video "/>
    <hyperlink ref="C32" r:id="rId19" location="" tooltip="" display="Video "/>
    <hyperlink ref="C34" r:id="rId20" location="" tooltip="" display="Video "/>
    <hyperlink ref="C35" r:id="rId21" location="" tooltip="" display="Picture "/>
    <hyperlink ref="C37" r:id="rId22" location="" tooltip="" display="Video "/>
    <hyperlink ref="C39" r:id="rId23" location="" tooltip="" display="Video "/>
    <hyperlink ref="C45" r:id="rId24" location="" tooltip="" display="Video"/>
    <hyperlink ref="C46" r:id="rId25" location="" tooltip="" display="video"/>
    <hyperlink ref="C47" r:id="rId26" location="" tooltip="" display="Video"/>
    <hyperlink ref="C48" r:id="rId27" location="" tooltip="" display="video"/>
    <hyperlink ref="C50" r:id="rId28" location="" tooltip="" display="Video"/>
    <hyperlink ref="C51" r:id="rId29" location="" tooltip="" display="Video"/>
    <hyperlink ref="C53" r:id="rId30" location="" tooltip="" display="Video "/>
    <hyperlink ref="C54" r:id="rId31" location="" tooltip="" display="video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780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164" customWidth="1"/>
    <col min="2" max="2" width="21.8516" style="164" customWidth="1"/>
    <col min="3" max="4" width="12.6719" style="164" customWidth="1"/>
    <col min="5" max="5" width="13.3125" style="164" customWidth="1"/>
    <col min="6" max="6" width="18.1797" style="164" customWidth="1"/>
    <col min="7" max="8" width="14.7031" style="164" customWidth="1"/>
    <col min="9" max="9" width="19.9141" style="164" customWidth="1"/>
    <col min="10" max="10" width="16.0625" style="164" customWidth="1"/>
    <col min="11" max="11" width="16.4531" style="164" customWidth="1"/>
    <col min="12" max="12" width="16.3281" style="164" customWidth="1"/>
    <col min="13" max="13" width="22.3516" style="164" customWidth="1"/>
    <col min="14" max="14" width="20.8516" style="164" customWidth="1"/>
    <col min="15" max="15" width="21.3516" style="164" customWidth="1"/>
    <col min="16" max="16" width="20" style="164" customWidth="1"/>
    <col min="17" max="28" width="17.1719" style="164" customWidth="1"/>
    <col min="29" max="16384" width="12.6719" style="164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  <c r="U1" t="s" s="4">
        <v>4</v>
      </c>
      <c r="V1" s="5"/>
      <c r="W1" s="5"/>
      <c r="X1" s="6"/>
      <c r="Y1" t="s" s="4">
        <v>123</v>
      </c>
      <c r="Z1" s="5"/>
      <c r="AA1" s="5"/>
      <c r="AB1" s="6"/>
    </row>
    <row r="2" ht="19.5" customHeight="1">
      <c r="A2" t="s" s="7">
        <v>5</v>
      </c>
      <c r="B2" t="s" s="8">
        <v>6</v>
      </c>
      <c r="C2" t="s" s="8">
        <v>7</v>
      </c>
      <c r="D2" t="s" s="8">
        <v>8</v>
      </c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  <c r="U2" t="s" s="4">
        <v>9</v>
      </c>
      <c r="V2" t="s" s="9">
        <v>10</v>
      </c>
      <c r="W2" t="s" s="9">
        <v>11</v>
      </c>
      <c r="X2" t="s" s="10">
        <v>12</v>
      </c>
      <c r="Y2" t="s" s="4">
        <v>9</v>
      </c>
      <c r="Z2" t="s" s="9">
        <v>10</v>
      </c>
      <c r="AA2" t="s" s="9">
        <v>11</v>
      </c>
      <c r="AB2" t="s" s="10">
        <v>12</v>
      </c>
    </row>
    <row r="3" ht="19.5" customHeight="1">
      <c r="A3" t="s" s="11">
        <v>13</v>
      </c>
      <c r="B3" s="12"/>
      <c r="C3" s="13"/>
      <c r="D3" s="13"/>
      <c r="E3" s="14"/>
      <c r="F3" s="15"/>
      <c r="G3" s="15"/>
      <c r="H3" s="16"/>
      <c r="I3" s="14"/>
      <c r="J3" s="15"/>
      <c r="K3" s="15"/>
      <c r="L3" s="16"/>
      <c r="M3" s="14"/>
      <c r="N3" s="15"/>
      <c r="O3" s="15"/>
      <c r="P3" s="16"/>
      <c r="Q3" s="14"/>
      <c r="R3" s="15"/>
      <c r="S3" s="15"/>
      <c r="T3" s="16"/>
      <c r="U3" s="14"/>
      <c r="V3" s="15"/>
      <c r="W3" s="15"/>
      <c r="X3" s="16"/>
      <c r="Y3" s="14"/>
      <c r="Z3" s="15"/>
      <c r="AA3" s="15"/>
      <c r="AB3" s="16"/>
    </row>
    <row r="4" ht="47" customHeight="1">
      <c r="A4" t="s" s="17">
        <v>14</v>
      </c>
      <c r="B4" s="18"/>
      <c r="C4" s="19"/>
      <c r="D4" s="19"/>
      <c r="E4" s="20"/>
      <c r="F4" t="s" s="21">
        <v>15</v>
      </c>
      <c r="G4" s="22"/>
      <c r="H4" s="23"/>
      <c r="I4" s="20"/>
      <c r="J4" t="s" s="21">
        <v>15</v>
      </c>
      <c r="K4" s="22"/>
      <c r="L4" s="23"/>
      <c r="M4" s="20"/>
      <c r="N4" t="s" s="21">
        <v>15</v>
      </c>
      <c r="O4" s="22"/>
      <c r="P4" s="23"/>
      <c r="Q4" s="20"/>
      <c r="R4" t="s" s="21">
        <v>15</v>
      </c>
      <c r="S4" s="22"/>
      <c r="T4" s="23"/>
      <c r="U4" s="20"/>
      <c r="V4" t="s" s="21">
        <v>15</v>
      </c>
      <c r="W4" s="22"/>
      <c r="X4" s="23"/>
      <c r="Y4" s="20"/>
      <c r="Z4" t="s" s="21">
        <v>15</v>
      </c>
      <c r="AA4" s="22"/>
      <c r="AB4" s="23"/>
    </row>
    <row r="5" ht="69.6" customHeight="1">
      <c r="A5" t="s" s="24">
        <v>165</v>
      </c>
      <c r="B5" t="s" s="24">
        <v>166</v>
      </c>
      <c r="C5" s="26"/>
      <c r="D5" s="26"/>
      <c r="E5" s="27">
        <v>1</v>
      </c>
      <c r="F5" t="s" s="28">
        <v>166</v>
      </c>
      <c r="G5" s="29"/>
      <c r="H5" s="30"/>
      <c r="I5" s="27">
        <v>1</v>
      </c>
      <c r="J5" t="s" s="28">
        <v>166</v>
      </c>
      <c r="K5" s="29"/>
      <c r="L5" s="30"/>
      <c r="M5" s="27">
        <v>1</v>
      </c>
      <c r="N5" t="s" s="28">
        <v>166</v>
      </c>
      <c r="O5" s="29"/>
      <c r="P5" s="30"/>
      <c r="Q5" s="27">
        <v>1</v>
      </c>
      <c r="R5" t="s" s="28">
        <v>166</v>
      </c>
      <c r="S5" s="29"/>
      <c r="T5" s="30"/>
      <c r="U5" s="27">
        <v>1</v>
      </c>
      <c r="V5" t="s" s="28">
        <v>166</v>
      </c>
      <c r="W5" s="29"/>
      <c r="X5" s="30"/>
      <c r="Y5" s="27">
        <v>1</v>
      </c>
      <c r="Z5" t="s" s="28">
        <v>166</v>
      </c>
      <c r="AA5" s="29"/>
      <c r="AB5" s="30"/>
    </row>
    <row r="6" ht="62.95" customHeight="1">
      <c r="A6" t="s" s="31">
        <v>16</v>
      </c>
      <c r="B6" t="s" s="31">
        <v>17</v>
      </c>
      <c r="C6" t="s" s="32">
        <v>18</v>
      </c>
      <c r="D6" s="33"/>
      <c r="E6" s="27">
        <v>1</v>
      </c>
      <c r="F6" t="s" s="28">
        <v>19</v>
      </c>
      <c r="G6" s="29"/>
      <c r="H6" s="30"/>
      <c r="I6" s="27">
        <v>1</v>
      </c>
      <c r="J6" t="s" s="28">
        <v>19</v>
      </c>
      <c r="K6" s="29"/>
      <c r="L6" s="30"/>
      <c r="M6" s="27">
        <v>1</v>
      </c>
      <c r="N6" t="s" s="28">
        <v>19</v>
      </c>
      <c r="O6" s="29"/>
      <c r="P6" s="30"/>
      <c r="Q6" s="27">
        <v>1</v>
      </c>
      <c r="R6" t="s" s="28">
        <v>19</v>
      </c>
      <c r="S6" s="29"/>
      <c r="T6" s="30"/>
      <c r="U6" s="27">
        <v>1</v>
      </c>
      <c r="V6" t="s" s="28">
        <v>19</v>
      </c>
      <c r="W6" s="29"/>
      <c r="X6" s="30"/>
      <c r="Y6" s="27">
        <v>1</v>
      </c>
      <c r="Z6" t="s" s="28">
        <v>19</v>
      </c>
      <c r="AA6" s="29"/>
      <c r="AB6" s="30"/>
    </row>
    <row r="7" ht="67.45" customHeight="1">
      <c r="A7" t="s" s="31">
        <v>20</v>
      </c>
      <c r="B7" t="s" s="31">
        <v>17</v>
      </c>
      <c r="C7" t="s" s="32">
        <v>21</v>
      </c>
      <c r="D7" s="33"/>
      <c r="E7" s="27">
        <v>1</v>
      </c>
      <c r="F7" t="s" s="28">
        <v>19</v>
      </c>
      <c r="G7" s="29"/>
      <c r="H7" s="30"/>
      <c r="I7" s="27">
        <v>1</v>
      </c>
      <c r="J7" t="s" s="28">
        <v>19</v>
      </c>
      <c r="K7" s="29"/>
      <c r="L7" s="30"/>
      <c r="M7" s="27">
        <v>1</v>
      </c>
      <c r="N7" t="s" s="28">
        <v>19</v>
      </c>
      <c r="O7" s="29"/>
      <c r="P7" s="30"/>
      <c r="Q7" s="27">
        <v>1</v>
      </c>
      <c r="R7" t="s" s="28">
        <v>19</v>
      </c>
      <c r="S7" s="29"/>
      <c r="T7" s="30"/>
      <c r="U7" s="27">
        <v>1</v>
      </c>
      <c r="V7" t="s" s="28">
        <v>19</v>
      </c>
      <c r="W7" s="29"/>
      <c r="X7" s="30"/>
      <c r="Y7" s="27">
        <v>1</v>
      </c>
      <c r="Z7" t="s" s="28">
        <v>19</v>
      </c>
      <c r="AA7" s="29"/>
      <c r="AB7" s="30"/>
    </row>
    <row r="8" ht="33.4" customHeight="1">
      <c r="A8" t="s" s="31">
        <v>22</v>
      </c>
      <c r="B8" t="s" s="31">
        <v>23</v>
      </c>
      <c r="C8" t="s" s="34">
        <v>18</v>
      </c>
      <c r="D8" s="35"/>
      <c r="E8" s="27">
        <v>1</v>
      </c>
      <c r="F8" t="s" s="28">
        <v>24</v>
      </c>
      <c r="G8" s="29"/>
      <c r="H8" s="30"/>
      <c r="I8" s="27">
        <v>1</v>
      </c>
      <c r="J8" t="s" s="28">
        <v>24</v>
      </c>
      <c r="K8" s="29"/>
      <c r="L8" s="30"/>
      <c r="M8" s="27">
        <v>1</v>
      </c>
      <c r="N8" t="s" s="28">
        <v>24</v>
      </c>
      <c r="O8" s="29"/>
      <c r="P8" s="30"/>
      <c r="Q8" s="27">
        <v>1</v>
      </c>
      <c r="R8" t="s" s="28">
        <v>24</v>
      </c>
      <c r="S8" s="29"/>
      <c r="T8" s="30"/>
      <c r="U8" s="27">
        <v>1</v>
      </c>
      <c r="V8" t="s" s="28">
        <v>24</v>
      </c>
      <c r="W8" s="29"/>
      <c r="X8" s="30"/>
      <c r="Y8" s="27">
        <v>1</v>
      </c>
      <c r="Z8" t="s" s="28">
        <v>24</v>
      </c>
      <c r="AA8" s="29"/>
      <c r="AB8" s="30"/>
    </row>
    <row r="9" ht="72.1" customHeight="1">
      <c r="A9" t="s" s="36">
        <v>25</v>
      </c>
      <c r="B9" t="s" s="36">
        <v>26</v>
      </c>
      <c r="C9" t="s" s="37">
        <v>27</v>
      </c>
      <c r="D9" s="38"/>
      <c r="E9" s="39">
        <v>1</v>
      </c>
      <c r="F9" t="s" s="40">
        <v>28</v>
      </c>
      <c r="G9" s="41"/>
      <c r="H9" s="42"/>
      <c r="I9" s="39">
        <v>1</v>
      </c>
      <c r="J9" t="s" s="40">
        <v>28</v>
      </c>
      <c r="K9" s="41"/>
      <c r="L9" s="42"/>
      <c r="M9" s="39">
        <v>1</v>
      </c>
      <c r="N9" t="s" s="40">
        <v>28</v>
      </c>
      <c r="O9" s="41"/>
      <c r="P9" s="42"/>
      <c r="Q9" s="39">
        <v>1</v>
      </c>
      <c r="R9" t="s" s="40">
        <v>28</v>
      </c>
      <c r="S9" s="41"/>
      <c r="T9" s="42"/>
      <c r="U9" s="39">
        <v>1</v>
      </c>
      <c r="V9" t="s" s="40">
        <v>28</v>
      </c>
      <c r="W9" s="41"/>
      <c r="X9" s="42"/>
      <c r="Y9" s="39">
        <v>1</v>
      </c>
      <c r="Z9" t="s" s="40">
        <v>28</v>
      </c>
      <c r="AA9" s="41"/>
      <c r="AB9" s="42"/>
    </row>
    <row r="10" ht="90.9" customHeight="1">
      <c r="A10" t="s" s="17">
        <v>29</v>
      </c>
      <c r="B10" t="s" s="17">
        <v>30</v>
      </c>
      <c r="C10" s="19"/>
      <c r="D10" s="19"/>
      <c r="E10" s="20"/>
      <c r="F10" t="s" s="21">
        <v>31</v>
      </c>
      <c r="G10" s="22"/>
      <c r="H10" t="s" s="43">
        <v>32</v>
      </c>
      <c r="I10" s="20"/>
      <c r="J10" t="s" s="21">
        <v>31</v>
      </c>
      <c r="K10" s="22"/>
      <c r="L10" t="s" s="43">
        <v>32</v>
      </c>
      <c r="M10" s="20"/>
      <c r="N10" t="s" s="21">
        <v>31</v>
      </c>
      <c r="O10" s="22"/>
      <c r="P10" t="s" s="43">
        <v>32</v>
      </c>
      <c r="Q10" s="20"/>
      <c r="R10" t="s" s="21">
        <v>31</v>
      </c>
      <c r="S10" s="22"/>
      <c r="T10" t="s" s="43">
        <v>32</v>
      </c>
      <c r="U10" s="20"/>
      <c r="V10" t="s" s="21">
        <v>31</v>
      </c>
      <c r="W10" s="22"/>
      <c r="X10" t="s" s="43">
        <v>32</v>
      </c>
      <c r="Y10" s="20"/>
      <c r="Z10" t="s" s="21">
        <v>31</v>
      </c>
      <c r="AA10" s="22"/>
      <c r="AB10" t="s" s="43">
        <v>32</v>
      </c>
    </row>
    <row r="11" ht="82.85" customHeight="1">
      <c r="A11" t="s" s="165">
        <v>167</v>
      </c>
      <c r="B11" s="166"/>
      <c r="C11" t="s" s="159">
        <v>48</v>
      </c>
      <c r="D11" s="167"/>
      <c r="E11" s="27">
        <v>1</v>
      </c>
      <c r="F11" t="s" s="28">
        <v>168</v>
      </c>
      <c r="G11" s="29"/>
      <c r="H11" s="30"/>
      <c r="I11" s="27">
        <v>1</v>
      </c>
      <c r="J11" t="s" s="28">
        <v>168</v>
      </c>
      <c r="K11" s="29"/>
      <c r="L11" s="30"/>
      <c r="M11" s="27">
        <v>1</v>
      </c>
      <c r="N11" t="s" s="28">
        <v>168</v>
      </c>
      <c r="O11" t="s" s="28">
        <v>169</v>
      </c>
      <c r="P11" t="s" s="64">
        <v>169</v>
      </c>
      <c r="Q11" s="27">
        <v>1</v>
      </c>
      <c r="R11" t="s" s="28">
        <v>168</v>
      </c>
      <c r="S11" t="s" s="28">
        <v>169</v>
      </c>
      <c r="T11" t="s" s="64">
        <v>169</v>
      </c>
      <c r="U11" s="27">
        <v>1</v>
      </c>
      <c r="V11" t="s" s="28">
        <v>168</v>
      </c>
      <c r="W11" t="s" s="28">
        <v>169</v>
      </c>
      <c r="X11" t="s" s="64">
        <v>169</v>
      </c>
      <c r="Y11" s="27">
        <v>1</v>
      </c>
      <c r="Z11" t="s" s="28">
        <v>168</v>
      </c>
      <c r="AA11" t="s" s="28">
        <v>169</v>
      </c>
      <c r="AB11" t="s" s="64">
        <v>169</v>
      </c>
    </row>
    <row r="12" ht="85.95" customHeight="1">
      <c r="A12" t="s" s="168">
        <v>170</v>
      </c>
      <c r="B12" t="s" s="168">
        <v>171</v>
      </c>
      <c r="C12" t="s" s="169">
        <v>48</v>
      </c>
      <c r="D12" s="170"/>
      <c r="E12" s="27">
        <v>1</v>
      </c>
      <c r="F12" t="s" s="28">
        <v>172</v>
      </c>
      <c r="G12" t="s" s="28">
        <v>173</v>
      </c>
      <c r="H12" t="s" s="64">
        <v>174</v>
      </c>
      <c r="I12" s="27">
        <v>1</v>
      </c>
      <c r="J12" t="s" s="28">
        <v>172</v>
      </c>
      <c r="K12" t="s" s="28">
        <v>173</v>
      </c>
      <c r="L12" t="s" s="64">
        <v>174</v>
      </c>
      <c r="M12" s="27">
        <v>1</v>
      </c>
      <c r="N12" t="s" s="28">
        <v>172</v>
      </c>
      <c r="O12" t="s" s="28">
        <v>175</v>
      </c>
      <c r="P12" t="s" s="64">
        <v>176</v>
      </c>
      <c r="Q12" s="27">
        <v>1</v>
      </c>
      <c r="R12" t="s" s="28">
        <v>172</v>
      </c>
      <c r="S12" t="s" s="28">
        <v>175</v>
      </c>
      <c r="T12" t="s" s="64">
        <v>176</v>
      </c>
      <c r="U12" s="27">
        <v>1</v>
      </c>
      <c r="V12" t="s" s="28">
        <v>172</v>
      </c>
      <c r="W12" t="s" s="28">
        <v>177</v>
      </c>
      <c r="X12" t="s" s="64">
        <v>178</v>
      </c>
      <c r="Y12" s="27">
        <v>1</v>
      </c>
      <c r="Z12" t="s" s="28">
        <v>172</v>
      </c>
      <c r="AA12" t="s" s="28">
        <v>177</v>
      </c>
      <c r="AB12" t="s" s="64">
        <v>178</v>
      </c>
    </row>
    <row r="13" ht="85.95" customHeight="1">
      <c r="A13" t="s" s="49">
        <v>179</v>
      </c>
      <c r="B13" t="s" s="49">
        <v>180</v>
      </c>
      <c r="C13" t="s" s="50">
        <v>48</v>
      </c>
      <c r="D13" s="51"/>
      <c r="E13" s="39">
        <v>1</v>
      </c>
      <c r="F13" s="52">
        <v>0.0006944444444444445</v>
      </c>
      <c r="G13" t="s" s="40">
        <v>181</v>
      </c>
      <c r="H13" t="s" s="171">
        <v>181</v>
      </c>
      <c r="I13" s="39">
        <v>1</v>
      </c>
      <c r="J13" s="52">
        <v>0.0006944444444444445</v>
      </c>
      <c r="K13" t="s" s="40">
        <v>181</v>
      </c>
      <c r="L13" t="s" s="171">
        <v>181</v>
      </c>
      <c r="M13" s="39">
        <v>1</v>
      </c>
      <c r="N13" s="52">
        <v>0.0006944444444444445</v>
      </c>
      <c r="O13" t="s" s="40">
        <v>181</v>
      </c>
      <c r="P13" t="s" s="171">
        <v>181</v>
      </c>
      <c r="Q13" s="39">
        <v>1</v>
      </c>
      <c r="R13" s="52">
        <v>0.0006944444444444445</v>
      </c>
      <c r="S13" t="s" s="40">
        <v>181</v>
      </c>
      <c r="T13" t="s" s="171">
        <v>181</v>
      </c>
      <c r="U13" s="39">
        <v>1</v>
      </c>
      <c r="V13" s="52">
        <v>0.0006944444444444445</v>
      </c>
      <c r="W13" t="s" s="40">
        <v>181</v>
      </c>
      <c r="X13" t="s" s="171">
        <v>181</v>
      </c>
      <c r="Y13" s="39">
        <v>1</v>
      </c>
      <c r="Z13" s="52">
        <v>0.0006944444444444445</v>
      </c>
      <c r="AA13" t="s" s="40">
        <v>181</v>
      </c>
      <c r="AB13" t="s" s="171">
        <v>181</v>
      </c>
    </row>
    <row r="14" ht="206.6" customHeight="1">
      <c r="A14" t="s" s="54">
        <v>182</v>
      </c>
      <c r="B14" t="s" s="17">
        <v>41</v>
      </c>
      <c r="C14" s="55"/>
      <c r="D14" s="55"/>
      <c r="E14" s="20"/>
      <c r="F14" t="s" s="21">
        <v>42</v>
      </c>
      <c r="G14" s="22"/>
      <c r="H14" s="23"/>
      <c r="I14" s="20"/>
      <c r="J14" t="s" s="21">
        <v>42</v>
      </c>
      <c r="K14" s="22"/>
      <c r="L14" s="23"/>
      <c r="M14" s="20"/>
      <c r="N14" t="s" s="21">
        <v>42</v>
      </c>
      <c r="O14" s="22"/>
      <c r="P14" s="23"/>
      <c r="Q14" s="20"/>
      <c r="R14" t="s" s="21">
        <v>42</v>
      </c>
      <c r="S14" s="22"/>
      <c r="T14" s="23"/>
      <c r="U14" s="20"/>
      <c r="V14" t="s" s="21">
        <v>42</v>
      </c>
      <c r="W14" s="22"/>
      <c r="X14" s="23"/>
      <c r="Y14" s="20"/>
      <c r="Z14" t="s" s="21">
        <v>42</v>
      </c>
      <c r="AA14" s="22"/>
      <c r="AB14" s="23"/>
    </row>
    <row r="15" ht="54.4" customHeight="1">
      <c r="A15" t="s" s="136">
        <v>183</v>
      </c>
      <c r="B15" t="s" s="56">
        <v>184</v>
      </c>
      <c r="C15" s="138"/>
      <c r="D15" s="138"/>
      <c r="E15" s="27">
        <v>1</v>
      </c>
      <c r="F15" t="s" s="28">
        <v>185</v>
      </c>
      <c r="G15" s="29"/>
      <c r="H15" s="30"/>
      <c r="I15" s="27">
        <v>1</v>
      </c>
      <c r="J15" t="s" s="28">
        <v>185</v>
      </c>
      <c r="K15" s="29"/>
      <c r="L15" s="30"/>
      <c r="M15" s="27">
        <v>1</v>
      </c>
      <c r="N15" t="s" s="28">
        <v>185</v>
      </c>
      <c r="O15" s="29"/>
      <c r="P15" s="30"/>
      <c r="Q15" s="27">
        <v>1</v>
      </c>
      <c r="R15" t="s" s="28">
        <v>185</v>
      </c>
      <c r="S15" s="29"/>
      <c r="T15" s="30"/>
      <c r="U15" s="27">
        <v>1</v>
      </c>
      <c r="V15" t="s" s="28">
        <v>185</v>
      </c>
      <c r="W15" s="29"/>
      <c r="X15" s="30"/>
      <c r="Y15" s="27">
        <v>1</v>
      </c>
      <c r="Z15" t="s" s="28">
        <v>185</v>
      </c>
      <c r="AA15" s="29"/>
      <c r="AB15" s="30"/>
    </row>
    <row r="16" ht="116.3" customHeight="1">
      <c r="A16" t="s" s="59">
        <v>186</v>
      </c>
      <c r="B16" t="s" s="172">
        <v>187</v>
      </c>
      <c r="C16" s="62"/>
      <c r="D16" s="62"/>
      <c r="E16" s="27">
        <v>3</v>
      </c>
      <c r="F16" t="s" s="28">
        <v>150</v>
      </c>
      <c r="G16" s="47" cm="1">
        <f t="array" ref="G16">$D16*(1.0278-0.0278*20)</f>
        <v>0</v>
      </c>
      <c r="H16" s="48" cm="1">
        <f t="array" ref="H16">$D16*(1.0278-0.0278*20)</f>
        <v>0</v>
      </c>
      <c r="I16" s="27">
        <v>3</v>
      </c>
      <c r="J16" t="s" s="28">
        <v>150</v>
      </c>
      <c r="K16" s="47" cm="1">
        <f t="array" ref="K16">$D16*(1.0278-0.0278*20)</f>
        <v>0</v>
      </c>
      <c r="L16" s="48" cm="1">
        <f t="array" ref="L16">$D16*(1.0278-0.0278*15)</f>
        <v>0</v>
      </c>
      <c r="M16" s="27">
        <v>4</v>
      </c>
      <c r="N16" t="s" s="28">
        <v>150</v>
      </c>
      <c r="O16" s="47" cm="1">
        <f t="array" ref="O16">$D16*(1.0278-0.0278*15)</f>
        <v>0</v>
      </c>
      <c r="P16" s="48" cm="1">
        <f t="array" ref="P16">$D16*(1.0278-0.0278*15)</f>
        <v>0</v>
      </c>
      <c r="Q16" s="27">
        <v>3</v>
      </c>
      <c r="R16" t="s" s="28">
        <v>150</v>
      </c>
      <c r="S16" s="47" cm="1">
        <f t="array" ref="S16">$D16*(1.0278-0.0278*15)</f>
        <v>0</v>
      </c>
      <c r="T16" s="48" cm="1">
        <f t="array" ref="T16">$D16*(1.0278-0.0278*13)</f>
        <v>0</v>
      </c>
      <c r="U16" s="27">
        <v>4</v>
      </c>
      <c r="V16" t="s" s="28">
        <v>150</v>
      </c>
      <c r="W16" s="47" cm="1">
        <f t="array" ref="W16">$D16*(1.0278-0.0278*15)</f>
        <v>0</v>
      </c>
      <c r="X16" s="48" cm="1">
        <f t="array" ref="X16">$D16*(1.0278-0.0278*12)</f>
        <v>0</v>
      </c>
      <c r="Y16" s="27">
        <v>4</v>
      </c>
      <c r="Z16" t="s" s="28">
        <v>150</v>
      </c>
      <c r="AA16" s="47" cm="1">
        <f t="array" ref="AA16">$D16*(1.0278-0.0278*12)</f>
        <v>0</v>
      </c>
      <c r="AB16" s="48" cm="1">
        <f t="array" ref="AB16">$D16*(1.0278-0.0278*12)</f>
        <v>0</v>
      </c>
    </row>
    <row r="17" ht="116.3" customHeight="1">
      <c r="A17" t="s" s="59">
        <v>188</v>
      </c>
      <c r="B17" t="s" s="173">
        <v>189</v>
      </c>
      <c r="C17" t="s" s="61">
        <v>190</v>
      </c>
      <c r="D17" s="62"/>
      <c r="E17" s="27">
        <v>3</v>
      </c>
      <c r="F17" t="s" s="28">
        <v>191</v>
      </c>
      <c r="G17" s="47" cm="1">
        <f t="array" ref="G17">$D17*(1.0278-0.0278*28)</f>
        <v>0</v>
      </c>
      <c r="H17" s="48" cm="1">
        <f t="array" ref="H17">$D17*(1.0278-0.0278*28)</f>
        <v>0</v>
      </c>
      <c r="I17" s="27">
        <v>3</v>
      </c>
      <c r="J17" t="s" s="28">
        <v>191</v>
      </c>
      <c r="K17" s="47" cm="1">
        <f t="array" ref="K17">$D17*(1.0278-0.0278*28)</f>
        <v>0</v>
      </c>
      <c r="L17" s="48" cm="1">
        <f t="array" ref="L17">$D17*(1.0278-0.0278*28)</f>
        <v>0</v>
      </c>
      <c r="M17" s="27">
        <v>4</v>
      </c>
      <c r="N17" t="s" s="28">
        <v>191</v>
      </c>
      <c r="O17" s="47" cm="1">
        <f t="array" ref="O17">$D17*(1.0278-0.0278*28)</f>
        <v>0</v>
      </c>
      <c r="P17" s="48" cm="1">
        <f t="array" ref="P17">$D17*(1.0278-0.0278*28)</f>
        <v>0</v>
      </c>
      <c r="Q17" s="27">
        <v>3</v>
      </c>
      <c r="R17" t="s" s="28">
        <v>191</v>
      </c>
      <c r="S17" s="47" cm="1">
        <f t="array" ref="S17">$D17*(1.0278-0.0278*24)</f>
        <v>0</v>
      </c>
      <c r="T17" s="48" cm="1">
        <f t="array" ref="T17">$D17*(1.0278-0.0278*24)</f>
        <v>0</v>
      </c>
      <c r="U17" s="27">
        <v>4</v>
      </c>
      <c r="V17" t="s" s="28">
        <v>191</v>
      </c>
      <c r="W17" s="47" cm="1">
        <f t="array" ref="W17">$D17*(1.0278-0.0278*24)</f>
        <v>0</v>
      </c>
      <c r="X17" s="48" cm="1">
        <f t="array" ref="X17">$D17*(1.0278-0.0278*24)</f>
        <v>0</v>
      </c>
      <c r="Y17" s="27">
        <v>5</v>
      </c>
      <c r="Z17" t="s" s="28">
        <v>191</v>
      </c>
      <c r="AA17" s="47" cm="1">
        <f t="array" ref="AA17">$D17*(1.0278-0.0278*24)</f>
        <v>0</v>
      </c>
      <c r="AB17" s="48" cm="1">
        <f t="array" ref="AB17">$D17*(1.0278-0.0278*24)</f>
        <v>0</v>
      </c>
    </row>
    <row r="18" ht="103.05" customHeight="1">
      <c r="A18" t="s" s="139">
        <v>192</v>
      </c>
      <c r="B18" t="s" s="174">
        <v>193</v>
      </c>
      <c r="C18" t="s" s="141">
        <v>48</v>
      </c>
      <c r="D18" s="142"/>
      <c r="E18" s="27">
        <v>4</v>
      </c>
      <c r="F18" t="s" s="28">
        <v>191</v>
      </c>
      <c r="G18" s="29"/>
      <c r="H18" s="30"/>
      <c r="I18" s="27">
        <v>4</v>
      </c>
      <c r="J18" t="s" s="28">
        <v>191</v>
      </c>
      <c r="K18" s="29"/>
      <c r="L18" s="30"/>
      <c r="M18" s="27">
        <v>4</v>
      </c>
      <c r="N18" t="s" s="28">
        <v>191</v>
      </c>
      <c r="O18" s="29"/>
      <c r="P18" s="30"/>
      <c r="Q18" s="27">
        <v>3</v>
      </c>
      <c r="R18" t="s" s="28">
        <v>191</v>
      </c>
      <c r="S18" s="29"/>
      <c r="T18" s="30"/>
      <c r="U18" s="27">
        <v>4</v>
      </c>
      <c r="V18" t="s" s="28">
        <v>191</v>
      </c>
      <c r="W18" s="29"/>
      <c r="X18" s="30"/>
      <c r="Y18" s="27">
        <v>5</v>
      </c>
      <c r="Z18" t="s" s="28">
        <v>191</v>
      </c>
      <c r="AA18" s="29"/>
      <c r="AB18" s="30"/>
    </row>
    <row r="19" ht="221.5" customHeight="1">
      <c r="A19" t="s" s="54">
        <v>194</v>
      </c>
      <c r="B19" t="s" s="17">
        <v>41</v>
      </c>
      <c r="C19" s="55"/>
      <c r="D19" s="55"/>
      <c r="E19" s="96"/>
      <c r="F19" t="s" s="97">
        <v>42</v>
      </c>
      <c r="G19" s="98"/>
      <c r="H19" s="99"/>
      <c r="I19" s="96"/>
      <c r="J19" t="s" s="97">
        <v>42</v>
      </c>
      <c r="K19" s="98"/>
      <c r="L19" s="99"/>
      <c r="M19" s="96"/>
      <c r="N19" t="s" s="97">
        <v>42</v>
      </c>
      <c r="O19" s="98"/>
      <c r="P19" s="99"/>
      <c r="Q19" s="96"/>
      <c r="R19" t="s" s="97">
        <v>42</v>
      </c>
      <c r="S19" s="98"/>
      <c r="T19" s="99"/>
      <c r="U19" s="96"/>
      <c r="V19" t="s" s="97">
        <v>42</v>
      </c>
      <c r="W19" s="98"/>
      <c r="X19" s="99"/>
      <c r="Y19" s="96"/>
      <c r="Z19" t="s" s="97">
        <v>42</v>
      </c>
      <c r="AA19" s="98"/>
      <c r="AB19" s="99"/>
    </row>
    <row r="20" ht="90.25" customHeight="1">
      <c r="A20" t="s" s="175">
        <v>195</v>
      </c>
      <c r="B20" t="s" s="176">
        <v>189</v>
      </c>
      <c r="C20" t="s" s="177">
        <v>48</v>
      </c>
      <c r="D20" s="178"/>
      <c r="E20" s="71">
        <v>3</v>
      </c>
      <c r="F20" s="47">
        <v>6</v>
      </c>
      <c r="G20" s="47" cm="1">
        <f t="array" ref="G20">$D20*(1.0278-0.0278*15)</f>
        <v>0</v>
      </c>
      <c r="H20" s="48" cm="1">
        <f t="array" ref="H20">$D20*(1.0278-0.0278*12)</f>
        <v>0</v>
      </c>
      <c r="I20" s="71">
        <v>3</v>
      </c>
      <c r="J20" s="47">
        <v>6</v>
      </c>
      <c r="K20" s="47" cm="1">
        <f t="array" ref="K20">$D20*(1.0278-0.0278*15)</f>
        <v>0</v>
      </c>
      <c r="L20" s="48" cm="1">
        <f t="array" ref="L20">$D20*(1.0278-0.0278*12)</f>
        <v>0</v>
      </c>
      <c r="M20" s="71">
        <v>4</v>
      </c>
      <c r="N20" s="47">
        <v>6</v>
      </c>
      <c r="O20" s="47" cm="1">
        <f t="array" ref="O20">$D20*(1.0278-0.0278*15)</f>
        <v>0</v>
      </c>
      <c r="P20" s="48" cm="1">
        <f t="array" ref="P20">$D20*(1.0278-0.0278*12)</f>
        <v>0</v>
      </c>
      <c r="Q20" s="71">
        <v>3</v>
      </c>
      <c r="R20" s="47">
        <v>6</v>
      </c>
      <c r="S20" s="47" cm="1">
        <f t="array" ref="S20">$D20*(1.0278-0.0278*15)</f>
        <v>0</v>
      </c>
      <c r="T20" s="48" cm="1">
        <f t="array" ref="T20">$D20*(1.0278-0.0278*12)</f>
        <v>0</v>
      </c>
      <c r="U20" s="71">
        <v>4</v>
      </c>
      <c r="V20" s="47">
        <v>6</v>
      </c>
      <c r="W20" s="47" cm="1">
        <f t="array" ref="W20">$D20*(1.0278-0.0278*15)</f>
        <v>0</v>
      </c>
      <c r="X20" s="48" cm="1">
        <f t="array" ref="X20">$D20*(1.0278-0.0278*12)</f>
        <v>0</v>
      </c>
      <c r="Y20" s="71">
        <v>4</v>
      </c>
      <c r="Z20" s="47">
        <v>6</v>
      </c>
      <c r="AA20" s="47" cm="1">
        <f t="array" ref="AA20">$D20*(1.0278-0.0278*15)</f>
        <v>0</v>
      </c>
      <c r="AB20" s="48" cm="1">
        <f t="array" ref="AB20">$D20*(1.0278-0.0278*12)</f>
        <v>0</v>
      </c>
    </row>
    <row r="21" ht="96.3" customHeight="1">
      <c r="A21" t="s" s="179">
        <v>113</v>
      </c>
      <c r="B21" t="s" s="173">
        <v>189</v>
      </c>
      <c r="C21" s="180"/>
      <c r="D21" s="180"/>
      <c r="E21" s="76">
        <v>3</v>
      </c>
      <c r="F21" s="181">
        <v>15</v>
      </c>
      <c r="G21" s="47" cm="1">
        <f t="array" ref="G21">$D21*(1.0278-0.0278*15)</f>
        <v>0</v>
      </c>
      <c r="H21" s="48" cm="1">
        <f t="array" ref="H21">$D21*(1.0278-0.0278*13)</f>
        <v>0</v>
      </c>
      <c r="I21" s="76">
        <v>3</v>
      </c>
      <c r="J21" s="181">
        <v>15</v>
      </c>
      <c r="K21" s="47" cm="1">
        <f t="array" ref="K21">$D21*(1.0278-0.0278*15)</f>
        <v>0</v>
      </c>
      <c r="L21" s="48" cm="1">
        <f t="array" ref="L21">$D21*(1.0278-0.0278*13)</f>
        <v>0</v>
      </c>
      <c r="M21" s="76">
        <v>4</v>
      </c>
      <c r="N21" s="181">
        <v>15</v>
      </c>
      <c r="O21" s="47" cm="1">
        <f t="array" ref="O21">$D21*(1.0278-0.0278*15)</f>
        <v>0</v>
      </c>
      <c r="P21" s="48" cm="1">
        <f t="array" ref="P21">$D21*(1.0278-0.0278*13)</f>
        <v>0</v>
      </c>
      <c r="Q21" s="76">
        <v>3</v>
      </c>
      <c r="R21" s="181">
        <v>15</v>
      </c>
      <c r="S21" s="47" cm="1">
        <f t="array" ref="S21">$D21*(1.0278-0.0278*15)</f>
        <v>0</v>
      </c>
      <c r="T21" s="48" cm="1">
        <f t="array" ref="T21">$D21*(1.0278-0.0278*13)</f>
        <v>0</v>
      </c>
      <c r="U21" s="76">
        <v>4</v>
      </c>
      <c r="V21" s="181">
        <v>15</v>
      </c>
      <c r="W21" s="47" cm="1">
        <f t="array" ref="W21">$D21*(1.0278-0.0278*15)</f>
        <v>0</v>
      </c>
      <c r="X21" s="48" cm="1">
        <f t="array" ref="X21">$D21*(1.0278-0.0278*13)</f>
        <v>0</v>
      </c>
      <c r="Y21" s="76">
        <v>4</v>
      </c>
      <c r="Z21" s="181">
        <v>15</v>
      </c>
      <c r="AA21" s="47" cm="1">
        <f t="array" ref="AA21">$D21*(1.0278-0.0278*15)</f>
        <v>0</v>
      </c>
      <c r="AB21" s="48" cm="1">
        <f t="array" ref="AB21">$D21*(1.0278-0.0278*13)</f>
        <v>0</v>
      </c>
    </row>
    <row r="22" ht="78.75" customHeight="1">
      <c r="A22" t="s" s="140">
        <v>196</v>
      </c>
      <c r="B22" t="s" s="174">
        <v>189</v>
      </c>
      <c r="C22" t="s" s="182">
        <v>48</v>
      </c>
      <c r="D22" s="183"/>
      <c r="E22" s="110">
        <v>4</v>
      </c>
      <c r="F22" s="47">
        <v>6</v>
      </c>
      <c r="G22" t="s" s="28">
        <v>197</v>
      </c>
      <c r="H22" t="s" s="64">
        <v>198</v>
      </c>
      <c r="I22" s="110">
        <v>4</v>
      </c>
      <c r="J22" s="47">
        <v>6</v>
      </c>
      <c r="K22" t="s" s="28">
        <v>197</v>
      </c>
      <c r="L22" t="s" s="64">
        <v>198</v>
      </c>
      <c r="M22" s="110">
        <v>4</v>
      </c>
      <c r="N22" s="47">
        <v>6</v>
      </c>
      <c r="O22" t="s" s="28">
        <v>197</v>
      </c>
      <c r="P22" t="s" s="64">
        <v>198</v>
      </c>
      <c r="Q22" s="110">
        <v>4</v>
      </c>
      <c r="R22" s="47">
        <v>6</v>
      </c>
      <c r="S22" t="s" s="28">
        <v>197</v>
      </c>
      <c r="T22" t="s" s="64">
        <v>198</v>
      </c>
      <c r="U22" s="110">
        <v>5</v>
      </c>
      <c r="V22" s="47">
        <v>6</v>
      </c>
      <c r="W22" t="s" s="28">
        <v>197</v>
      </c>
      <c r="X22" t="s" s="64">
        <v>198</v>
      </c>
      <c r="Y22" s="110">
        <v>5</v>
      </c>
      <c r="Z22" s="47">
        <v>6</v>
      </c>
      <c r="AA22" t="s" s="28">
        <v>197</v>
      </c>
      <c r="AB22" t="s" s="64">
        <v>198</v>
      </c>
    </row>
    <row r="23" ht="18.9" customHeight="1">
      <c r="A23" s="12"/>
      <c r="B23" s="12"/>
      <c r="C23" s="13"/>
      <c r="D23" s="13"/>
      <c r="E23" s="184"/>
      <c r="F23" s="83"/>
      <c r="G23" s="83"/>
      <c r="H23" s="84"/>
      <c r="I23" s="184"/>
      <c r="J23" s="83"/>
      <c r="K23" s="83"/>
      <c r="L23" s="84"/>
      <c r="M23" s="184"/>
      <c r="N23" s="83"/>
      <c r="O23" s="83"/>
      <c r="P23" s="84"/>
      <c r="Q23" s="184"/>
      <c r="R23" s="83"/>
      <c r="S23" s="83"/>
      <c r="T23" s="84"/>
      <c r="U23" s="184"/>
      <c r="V23" s="83"/>
      <c r="W23" s="83"/>
      <c r="X23" s="84"/>
      <c r="Y23" s="184"/>
      <c r="Z23" s="83"/>
      <c r="AA23" s="83"/>
      <c r="AB23" s="84"/>
    </row>
    <row r="24" ht="39" customHeight="1">
      <c r="A24" s="85"/>
      <c r="B24" s="22"/>
      <c r="C24" s="23"/>
      <c r="D24" s="20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ht="19.5" customHeight="1">
      <c r="A25" s="87"/>
      <c r="B25" s="88"/>
      <c r="C25" s="89"/>
      <c r="D25" s="9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ht="26" customHeight="1">
      <c r="A26" t="s" s="7">
        <v>68</v>
      </c>
      <c r="B26" s="2"/>
      <c r="C26" s="2"/>
      <c r="D26" s="2"/>
      <c r="E26" s="91"/>
      <c r="F26" s="92"/>
      <c r="G26" s="93"/>
      <c r="H26" s="94"/>
      <c r="I26" s="91"/>
      <c r="J26" s="92"/>
      <c r="K26" s="93"/>
      <c r="L26" s="94"/>
      <c r="M26" s="91"/>
      <c r="N26" s="92"/>
      <c r="O26" s="93"/>
      <c r="P26" s="94"/>
      <c r="Q26" s="91"/>
      <c r="R26" s="92"/>
      <c r="S26" s="93"/>
      <c r="T26" s="94"/>
      <c r="U26" s="91"/>
      <c r="V26" s="92"/>
      <c r="W26" s="93"/>
      <c r="X26" s="94"/>
      <c r="Y26" s="91"/>
      <c r="Z26" s="92"/>
      <c r="AA26" s="93"/>
      <c r="AB26" s="94"/>
    </row>
    <row r="27" ht="68.35" customHeight="1">
      <c r="A27" t="s" s="17">
        <v>14</v>
      </c>
      <c r="B27" s="18"/>
      <c r="C27" s="19"/>
      <c r="D27" s="19"/>
      <c r="E27" s="20"/>
      <c r="F27" t="s" s="21">
        <v>69</v>
      </c>
      <c r="G27" s="22"/>
      <c r="H27" s="23"/>
      <c r="I27" s="20"/>
      <c r="J27" t="s" s="21">
        <v>69</v>
      </c>
      <c r="K27" s="22"/>
      <c r="L27" s="23"/>
      <c r="M27" s="20"/>
      <c r="N27" t="s" s="21">
        <v>69</v>
      </c>
      <c r="O27" s="22"/>
      <c r="P27" s="23"/>
      <c r="Q27" s="20"/>
      <c r="R27" t="s" s="21">
        <v>69</v>
      </c>
      <c r="S27" s="22"/>
      <c r="T27" s="23"/>
      <c r="U27" s="20"/>
      <c r="V27" t="s" s="21">
        <v>69</v>
      </c>
      <c r="W27" s="22"/>
      <c r="X27" s="23"/>
      <c r="Y27" s="20"/>
      <c r="Z27" t="s" s="21">
        <v>69</v>
      </c>
      <c r="AA27" s="22"/>
      <c r="AB27" s="23"/>
    </row>
    <row r="28" ht="36.4" customHeight="1">
      <c r="A28" t="s" s="24">
        <v>16</v>
      </c>
      <c r="B28" t="s" s="24">
        <v>17</v>
      </c>
      <c r="C28" t="s" s="25">
        <v>18</v>
      </c>
      <c r="D28" s="26"/>
      <c r="E28" s="27">
        <v>1</v>
      </c>
      <c r="F28" t="s" s="28">
        <v>19</v>
      </c>
      <c r="G28" s="29"/>
      <c r="H28" s="30"/>
      <c r="I28" s="27">
        <v>1</v>
      </c>
      <c r="J28" t="s" s="28">
        <v>19</v>
      </c>
      <c r="K28" s="29"/>
      <c r="L28" s="30"/>
      <c r="M28" s="27">
        <v>1</v>
      </c>
      <c r="N28" t="s" s="28">
        <v>19</v>
      </c>
      <c r="O28" s="29"/>
      <c r="P28" s="30"/>
      <c r="Q28" s="27">
        <v>1</v>
      </c>
      <c r="R28" t="s" s="28">
        <v>19</v>
      </c>
      <c r="S28" s="29"/>
      <c r="T28" s="30"/>
      <c r="U28" s="27">
        <v>1</v>
      </c>
      <c r="V28" t="s" s="28">
        <v>19</v>
      </c>
      <c r="W28" s="29"/>
      <c r="X28" s="30"/>
      <c r="Y28" s="27">
        <v>1</v>
      </c>
      <c r="Z28" t="s" s="28">
        <v>19</v>
      </c>
      <c r="AA28" s="29"/>
      <c r="AB28" s="30"/>
    </row>
    <row r="29" ht="34.05" customHeight="1">
      <c r="A29" t="s" s="31">
        <v>20</v>
      </c>
      <c r="B29" t="s" s="31">
        <v>17</v>
      </c>
      <c r="C29" t="s" s="32">
        <v>21</v>
      </c>
      <c r="D29" s="33"/>
      <c r="E29" s="27">
        <v>1</v>
      </c>
      <c r="F29" t="s" s="28">
        <v>19</v>
      </c>
      <c r="G29" s="29"/>
      <c r="H29" s="30"/>
      <c r="I29" s="27">
        <v>1</v>
      </c>
      <c r="J29" t="s" s="28">
        <v>19</v>
      </c>
      <c r="K29" s="29"/>
      <c r="L29" s="30"/>
      <c r="M29" s="27">
        <v>1</v>
      </c>
      <c r="N29" t="s" s="28">
        <v>19</v>
      </c>
      <c r="O29" s="29"/>
      <c r="P29" s="30"/>
      <c r="Q29" s="27">
        <v>1</v>
      </c>
      <c r="R29" t="s" s="28">
        <v>19</v>
      </c>
      <c r="S29" s="29"/>
      <c r="T29" s="30"/>
      <c r="U29" s="27">
        <v>1</v>
      </c>
      <c r="V29" t="s" s="28">
        <v>19</v>
      </c>
      <c r="W29" s="29"/>
      <c r="X29" s="30"/>
      <c r="Y29" s="27">
        <v>1</v>
      </c>
      <c r="Z29" t="s" s="28">
        <v>19</v>
      </c>
      <c r="AA29" s="29"/>
      <c r="AB29" s="30"/>
    </row>
    <row r="30" ht="66.9" customHeight="1">
      <c r="A30" t="s" s="31">
        <v>70</v>
      </c>
      <c r="B30" t="s" s="31">
        <v>71</v>
      </c>
      <c r="C30" t="s" s="32">
        <v>18</v>
      </c>
      <c r="D30" s="33"/>
      <c r="E30" s="27">
        <v>1</v>
      </c>
      <c r="F30" t="s" s="28">
        <v>72</v>
      </c>
      <c r="G30" s="29"/>
      <c r="H30" s="30"/>
      <c r="I30" s="27">
        <v>1</v>
      </c>
      <c r="J30" t="s" s="28">
        <v>72</v>
      </c>
      <c r="K30" s="29"/>
      <c r="L30" s="30"/>
      <c r="M30" s="27">
        <v>1</v>
      </c>
      <c r="N30" t="s" s="28">
        <v>72</v>
      </c>
      <c r="O30" s="29"/>
      <c r="P30" s="30"/>
      <c r="Q30" s="27">
        <v>1</v>
      </c>
      <c r="R30" t="s" s="28">
        <v>72</v>
      </c>
      <c r="S30" s="29"/>
      <c r="T30" s="30"/>
      <c r="U30" s="27">
        <v>1</v>
      </c>
      <c r="V30" t="s" s="28">
        <v>72</v>
      </c>
      <c r="W30" s="29"/>
      <c r="X30" s="30"/>
      <c r="Y30" s="27">
        <v>1</v>
      </c>
      <c r="Z30" t="s" s="28">
        <v>72</v>
      </c>
      <c r="AA30" s="29"/>
      <c r="AB30" s="30"/>
    </row>
    <row r="31" ht="43.8" customHeight="1">
      <c r="A31" t="s" s="31">
        <v>22</v>
      </c>
      <c r="B31" t="s" s="31">
        <v>23</v>
      </c>
      <c r="C31" t="s" s="34">
        <v>18</v>
      </c>
      <c r="D31" s="35"/>
      <c r="E31" s="27">
        <v>1</v>
      </c>
      <c r="F31" t="s" s="28">
        <v>24</v>
      </c>
      <c r="G31" s="29"/>
      <c r="H31" s="30"/>
      <c r="I31" s="27">
        <v>1</v>
      </c>
      <c r="J31" t="s" s="28">
        <v>24</v>
      </c>
      <c r="K31" s="29"/>
      <c r="L31" s="30"/>
      <c r="M31" s="27">
        <v>1</v>
      </c>
      <c r="N31" t="s" s="28">
        <v>24</v>
      </c>
      <c r="O31" s="29"/>
      <c r="P31" s="30"/>
      <c r="Q31" s="27">
        <v>1</v>
      </c>
      <c r="R31" t="s" s="28">
        <v>24</v>
      </c>
      <c r="S31" s="29"/>
      <c r="T31" s="30"/>
      <c r="U31" s="27">
        <v>1</v>
      </c>
      <c r="V31" t="s" s="28">
        <v>24</v>
      </c>
      <c r="W31" s="29"/>
      <c r="X31" s="30"/>
      <c r="Y31" s="27">
        <v>1</v>
      </c>
      <c r="Z31" t="s" s="28">
        <v>24</v>
      </c>
      <c r="AA31" s="29"/>
      <c r="AB31" s="30"/>
    </row>
    <row r="32" ht="67.45" customHeight="1">
      <c r="A32" t="s" s="36">
        <v>25</v>
      </c>
      <c r="B32" t="s" s="36">
        <v>26</v>
      </c>
      <c r="C32" t="s" s="37">
        <v>27</v>
      </c>
      <c r="D32" s="38"/>
      <c r="E32" s="39">
        <v>1</v>
      </c>
      <c r="F32" t="s" s="40">
        <v>28</v>
      </c>
      <c r="G32" s="41"/>
      <c r="H32" s="42"/>
      <c r="I32" s="39">
        <v>1</v>
      </c>
      <c r="J32" t="s" s="40">
        <v>28</v>
      </c>
      <c r="K32" s="41"/>
      <c r="L32" s="42"/>
      <c r="M32" s="39">
        <v>1</v>
      </c>
      <c r="N32" t="s" s="40">
        <v>28</v>
      </c>
      <c r="O32" s="41"/>
      <c r="P32" s="42"/>
      <c r="Q32" s="39">
        <v>1</v>
      </c>
      <c r="R32" t="s" s="40">
        <v>28</v>
      </c>
      <c r="S32" s="41"/>
      <c r="T32" s="42"/>
      <c r="U32" s="39">
        <v>1</v>
      </c>
      <c r="V32" t="s" s="40">
        <v>28</v>
      </c>
      <c r="W32" s="41"/>
      <c r="X32" s="42"/>
      <c r="Y32" s="39">
        <v>1</v>
      </c>
      <c r="Z32" t="s" s="40">
        <v>28</v>
      </c>
      <c r="AA32" s="41"/>
      <c r="AB32" s="42"/>
    </row>
    <row r="33" ht="171.15" customHeight="1">
      <c r="A33" t="s" s="17">
        <v>29</v>
      </c>
      <c r="B33" t="s" s="17">
        <v>73</v>
      </c>
      <c r="C33" s="19"/>
      <c r="D33" s="19"/>
      <c r="E33" s="20"/>
      <c r="F33" t="s" s="21">
        <v>74</v>
      </c>
      <c r="G33" s="22"/>
      <c r="H33" t="s" s="43">
        <v>32</v>
      </c>
      <c r="I33" s="20"/>
      <c r="J33" t="s" s="21">
        <v>74</v>
      </c>
      <c r="K33" s="22"/>
      <c r="L33" t="s" s="43">
        <v>32</v>
      </c>
      <c r="M33" s="20"/>
      <c r="N33" t="s" s="21">
        <v>74</v>
      </c>
      <c r="O33" s="22"/>
      <c r="P33" t="s" s="43">
        <v>32</v>
      </c>
      <c r="Q33" s="20"/>
      <c r="R33" t="s" s="21">
        <v>74</v>
      </c>
      <c r="S33" s="22"/>
      <c r="T33" t="s" s="43">
        <v>32</v>
      </c>
      <c r="U33" s="20"/>
      <c r="V33" t="s" s="21">
        <v>74</v>
      </c>
      <c r="W33" s="22"/>
      <c r="X33" t="s" s="43">
        <v>32</v>
      </c>
      <c r="Y33" s="20"/>
      <c r="Z33" t="s" s="21">
        <v>74</v>
      </c>
      <c r="AA33" s="22"/>
      <c r="AB33" t="s" s="43">
        <v>32</v>
      </c>
    </row>
    <row r="34" ht="83.4" customHeight="1">
      <c r="A34" t="s" s="44">
        <v>199</v>
      </c>
      <c r="B34" s="166"/>
      <c r="C34" t="s" s="159">
        <v>61</v>
      </c>
      <c r="D34" s="46"/>
      <c r="E34" s="27">
        <v>1</v>
      </c>
      <c r="F34" s="63">
        <v>0.001388888888888889</v>
      </c>
      <c r="G34" t="s" s="28">
        <v>200</v>
      </c>
      <c r="H34" t="s" s="64">
        <v>201</v>
      </c>
      <c r="I34" s="27">
        <v>1</v>
      </c>
      <c r="J34" s="63">
        <v>0.001388888888888889</v>
      </c>
      <c r="K34" t="s" s="28">
        <v>200</v>
      </c>
      <c r="L34" t="s" s="64">
        <v>202</v>
      </c>
      <c r="M34" s="27">
        <v>1</v>
      </c>
      <c r="N34" s="63">
        <v>0.002083333333333333</v>
      </c>
      <c r="O34" s="29"/>
      <c r="P34" s="30"/>
      <c r="Q34" s="27">
        <v>1</v>
      </c>
      <c r="R34" s="65">
        <v>0.002430555555555556</v>
      </c>
      <c r="S34" s="29"/>
      <c r="T34" s="30"/>
      <c r="U34" s="27">
        <v>1</v>
      </c>
      <c r="V34" s="65">
        <v>0.002430555555555556</v>
      </c>
      <c r="W34" s="29"/>
      <c r="X34" s="30"/>
      <c r="Y34" s="27">
        <v>1</v>
      </c>
      <c r="Z34" s="63">
        <v>0.002777777777777778</v>
      </c>
      <c r="AA34" s="29"/>
      <c r="AB34" s="30"/>
    </row>
    <row r="35" ht="35.9" customHeight="1">
      <c r="A35" t="s" s="185">
        <v>203</v>
      </c>
      <c r="B35" t="s" s="186">
        <v>204</v>
      </c>
      <c r="C35" t="s" s="187">
        <v>48</v>
      </c>
      <c r="D35" s="188"/>
      <c r="E35" s="71">
        <v>1</v>
      </c>
      <c r="F35" t="s" s="105">
        <v>205</v>
      </c>
      <c r="G35" t="s" s="105">
        <v>84</v>
      </c>
      <c r="H35" t="s" s="106">
        <v>85</v>
      </c>
      <c r="I35" s="71">
        <v>1</v>
      </c>
      <c r="J35" t="s" s="105">
        <v>205</v>
      </c>
      <c r="K35" t="s" s="105">
        <v>84</v>
      </c>
      <c r="L35" t="s" s="106">
        <v>85</v>
      </c>
      <c r="M35" s="71">
        <v>1</v>
      </c>
      <c r="N35" t="s" s="105">
        <v>206</v>
      </c>
      <c r="O35" t="s" s="105">
        <v>84</v>
      </c>
      <c r="P35" t="s" s="106">
        <v>85</v>
      </c>
      <c r="Q35" s="71">
        <v>1</v>
      </c>
      <c r="R35" t="s" s="105">
        <v>206</v>
      </c>
      <c r="S35" t="s" s="105">
        <v>84</v>
      </c>
      <c r="T35" t="s" s="106">
        <v>85</v>
      </c>
      <c r="U35" s="71">
        <v>1</v>
      </c>
      <c r="V35" t="s" s="105">
        <v>206</v>
      </c>
      <c r="W35" t="s" s="105">
        <v>84</v>
      </c>
      <c r="X35" t="s" s="106">
        <v>85</v>
      </c>
      <c r="Y35" s="71">
        <v>1</v>
      </c>
      <c r="Z35" t="s" s="105">
        <v>207</v>
      </c>
      <c r="AA35" t="s" s="105">
        <v>84</v>
      </c>
      <c r="AB35" t="s" s="106">
        <v>85</v>
      </c>
    </row>
    <row r="36" ht="45.95" customHeight="1">
      <c r="A36" t="s" s="189">
        <v>208</v>
      </c>
      <c r="B36" t="s" s="189">
        <v>77</v>
      </c>
      <c r="C36" t="s" s="190">
        <v>48</v>
      </c>
      <c r="D36" s="191"/>
      <c r="E36" s="110">
        <v>1</v>
      </c>
      <c r="F36" t="s" s="111">
        <v>67</v>
      </c>
      <c r="G36" s="192"/>
      <c r="H36" s="193"/>
      <c r="I36" s="110">
        <v>1</v>
      </c>
      <c r="J36" t="s" s="111">
        <v>67</v>
      </c>
      <c r="K36" s="192"/>
      <c r="L36" s="193"/>
      <c r="M36" s="110">
        <v>1</v>
      </c>
      <c r="N36" t="s" s="111">
        <v>142</v>
      </c>
      <c r="O36" s="192"/>
      <c r="P36" s="193"/>
      <c r="Q36" s="110">
        <v>1</v>
      </c>
      <c r="R36" t="s" s="111">
        <v>209</v>
      </c>
      <c r="S36" s="192"/>
      <c r="T36" s="193"/>
      <c r="U36" s="110">
        <v>1</v>
      </c>
      <c r="V36" t="s" s="111">
        <v>209</v>
      </c>
      <c r="W36" s="192"/>
      <c r="X36" s="193"/>
      <c r="Y36" s="110">
        <v>1</v>
      </c>
      <c r="Z36" t="s" s="111">
        <v>143</v>
      </c>
      <c r="AA36" s="192"/>
      <c r="AB36" s="193"/>
    </row>
    <row r="37" ht="171.35" customHeight="1">
      <c r="A37" t="s" s="54">
        <v>108</v>
      </c>
      <c r="B37" t="s" s="54">
        <v>73</v>
      </c>
      <c r="C37" s="55"/>
      <c r="D37" s="95"/>
      <c r="E37" s="96"/>
      <c r="F37" t="s" s="97">
        <v>42</v>
      </c>
      <c r="G37" s="98"/>
      <c r="H37" s="99"/>
      <c r="I37" s="96"/>
      <c r="J37" t="s" s="97">
        <v>42</v>
      </c>
      <c r="K37" s="98"/>
      <c r="L37" s="99"/>
      <c r="M37" s="96"/>
      <c r="N37" t="s" s="97">
        <v>42</v>
      </c>
      <c r="O37" s="98"/>
      <c r="P37" s="99"/>
      <c r="Q37" s="96"/>
      <c r="R37" t="s" s="97">
        <v>42</v>
      </c>
      <c r="S37" s="98"/>
      <c r="T37" s="99"/>
      <c r="U37" s="96"/>
      <c r="V37" t="s" s="97">
        <v>42</v>
      </c>
      <c r="W37" s="98"/>
      <c r="X37" s="99"/>
      <c r="Y37" s="96"/>
      <c r="Z37" t="s" s="97">
        <v>42</v>
      </c>
      <c r="AA37" s="98"/>
      <c r="AB37" s="99"/>
    </row>
    <row r="38" ht="60.45" customHeight="1">
      <c r="A38" t="s" s="136">
        <v>210</v>
      </c>
      <c r="B38" s="194"/>
      <c r="C38" s="138"/>
      <c r="D38" s="138"/>
      <c r="E38" s="27">
        <v>1</v>
      </c>
      <c r="F38" s="29"/>
      <c r="G38" s="29"/>
      <c r="H38" s="30"/>
      <c r="I38" s="27">
        <v>1</v>
      </c>
      <c r="J38" s="29"/>
      <c r="K38" s="29"/>
      <c r="L38" s="30"/>
      <c r="M38" s="27">
        <v>1</v>
      </c>
      <c r="N38" s="29"/>
      <c r="O38" s="29"/>
      <c r="P38" s="30"/>
      <c r="Q38" s="27">
        <v>1</v>
      </c>
      <c r="R38" s="29"/>
      <c r="S38" s="29"/>
      <c r="T38" s="30"/>
      <c r="U38" s="27">
        <v>1</v>
      </c>
      <c r="V38" s="29"/>
      <c r="W38" s="29"/>
      <c r="X38" s="30"/>
      <c r="Y38" s="27">
        <v>1</v>
      </c>
      <c r="Z38" s="29"/>
      <c r="AA38" s="29"/>
      <c r="AB38" s="30"/>
    </row>
    <row r="39" ht="71.5" customHeight="1">
      <c r="A39" t="s" s="59">
        <v>211</v>
      </c>
      <c r="B39" t="s" s="66">
        <v>189</v>
      </c>
      <c r="C39" t="s" s="61">
        <v>48</v>
      </c>
      <c r="D39" s="62"/>
      <c r="E39" s="27">
        <v>3</v>
      </c>
      <c r="F39" s="47">
        <v>3</v>
      </c>
      <c r="G39" s="47" cm="1">
        <f t="array" ref="G39">$D39*(1.0278-0.0278*28)</f>
        <v>0</v>
      </c>
      <c r="H39" s="48" cm="1">
        <f t="array" ref="H39">$D39*(1.0278-0.0278*28)</f>
        <v>0</v>
      </c>
      <c r="I39" s="27">
        <v>3</v>
      </c>
      <c r="J39" s="47">
        <v>3</v>
      </c>
      <c r="K39" s="47" cm="1">
        <f t="array" ref="K39">$D39*(1.0278-0.0278*28)</f>
        <v>0</v>
      </c>
      <c r="L39" s="48" cm="1">
        <f t="array" ref="L39">$D39*(1.0278-0.0278*28)</f>
        <v>0</v>
      </c>
      <c r="M39" s="27">
        <v>3</v>
      </c>
      <c r="N39" s="47">
        <v>3</v>
      </c>
      <c r="O39" s="47" cm="1">
        <f t="array" ref="O39">$D39*(1.0278-0.0278*28)</f>
        <v>0</v>
      </c>
      <c r="P39" s="48" cm="1">
        <f t="array" ref="P39">$D39*(1.0278-0.0278*28)</f>
        <v>0</v>
      </c>
      <c r="Q39" s="27">
        <v>3</v>
      </c>
      <c r="R39" s="47">
        <v>3</v>
      </c>
      <c r="S39" s="47" cm="1">
        <f t="array" ref="S39">$D39*(1.0278-0.0278*28)</f>
        <v>0</v>
      </c>
      <c r="T39" s="48" cm="1">
        <f t="array" ref="T39">$D39*(1.0278-0.0278*28)</f>
        <v>0</v>
      </c>
      <c r="U39" s="27">
        <v>3</v>
      </c>
      <c r="V39" s="47">
        <v>3</v>
      </c>
      <c r="W39" s="47" cm="1">
        <f t="array" ref="W39">$D39*(1.0278-0.0278*28)</f>
        <v>0</v>
      </c>
      <c r="X39" s="48" cm="1">
        <f t="array" ref="X39">$D39*(1.0278-0.0278*28)</f>
        <v>0</v>
      </c>
      <c r="Y39" s="27">
        <v>3</v>
      </c>
      <c r="Z39" s="47">
        <v>3</v>
      </c>
      <c r="AA39" s="47" cm="1">
        <f t="array" ref="AA39">$D39*(1.0278-0.0278*28)</f>
        <v>0</v>
      </c>
      <c r="AB39" s="48" cm="1">
        <f t="array" ref="AB39">$D39*(1.0278-0.0278*28)</f>
        <v>0</v>
      </c>
    </row>
    <row r="40" ht="71.5" customHeight="1">
      <c r="A40" t="s" s="139">
        <v>212</v>
      </c>
      <c r="B40" t="s" s="140">
        <v>189</v>
      </c>
      <c r="C40" t="s" s="141">
        <v>48</v>
      </c>
      <c r="D40" s="142"/>
      <c r="E40" s="27">
        <v>3</v>
      </c>
      <c r="F40" s="47">
        <v>3</v>
      </c>
      <c r="G40" t="s" s="28">
        <v>197</v>
      </c>
      <c r="H40" t="s" s="64">
        <v>198</v>
      </c>
      <c r="I40" s="27">
        <v>3</v>
      </c>
      <c r="J40" s="47">
        <v>6</v>
      </c>
      <c r="K40" t="s" s="28">
        <v>197</v>
      </c>
      <c r="L40" t="s" s="64">
        <v>198</v>
      </c>
      <c r="M40" s="27">
        <v>3</v>
      </c>
      <c r="N40" s="47">
        <v>6</v>
      </c>
      <c r="O40" t="s" s="28">
        <v>197</v>
      </c>
      <c r="P40" t="s" s="64">
        <v>198</v>
      </c>
      <c r="Q40" s="27">
        <v>3</v>
      </c>
      <c r="R40" s="47">
        <v>6</v>
      </c>
      <c r="S40" t="s" s="28">
        <v>197</v>
      </c>
      <c r="T40" t="s" s="64">
        <v>198</v>
      </c>
      <c r="U40" s="27">
        <v>3</v>
      </c>
      <c r="V40" s="47">
        <v>6</v>
      </c>
      <c r="W40" t="s" s="28">
        <v>197</v>
      </c>
      <c r="X40" t="s" s="64">
        <v>198</v>
      </c>
      <c r="Y40" s="27">
        <v>3</v>
      </c>
      <c r="Z40" s="47">
        <v>6</v>
      </c>
      <c r="AA40" t="s" s="28">
        <v>197</v>
      </c>
      <c r="AB40" t="s" s="64">
        <v>198</v>
      </c>
    </row>
    <row r="41" ht="198.9" customHeight="1">
      <c r="A41" t="s" s="54">
        <v>194</v>
      </c>
      <c r="B41" t="s" s="17">
        <v>41</v>
      </c>
      <c r="C41" s="55"/>
      <c r="D41" s="55"/>
      <c r="E41" s="96"/>
      <c r="F41" t="s" s="97">
        <v>42</v>
      </c>
      <c r="G41" s="98"/>
      <c r="H41" s="99"/>
      <c r="I41" s="96"/>
      <c r="J41" t="s" s="97">
        <v>42</v>
      </c>
      <c r="K41" s="98"/>
      <c r="L41" s="99"/>
      <c r="M41" s="96"/>
      <c r="N41" t="s" s="97">
        <v>42</v>
      </c>
      <c r="O41" s="98"/>
      <c r="P41" s="99"/>
      <c r="Q41" s="96"/>
      <c r="R41" t="s" s="97">
        <v>42</v>
      </c>
      <c r="S41" s="98"/>
      <c r="T41" s="99"/>
      <c r="U41" s="96"/>
      <c r="V41" t="s" s="97">
        <v>42</v>
      </c>
      <c r="W41" s="98"/>
      <c r="X41" s="99"/>
      <c r="Y41" s="96"/>
      <c r="Z41" t="s" s="97">
        <v>42</v>
      </c>
      <c r="AA41" s="98"/>
      <c r="AB41" s="99"/>
    </row>
    <row r="42" ht="36.4" customHeight="1">
      <c r="A42" t="s" s="195">
        <v>213</v>
      </c>
      <c r="B42" t="s" s="196">
        <v>214</v>
      </c>
      <c r="C42" t="s" s="197">
        <v>48</v>
      </c>
      <c r="D42" s="198"/>
      <c r="E42" s="71">
        <v>2</v>
      </c>
      <c r="F42" s="47">
        <v>10</v>
      </c>
      <c r="G42" s="29"/>
      <c r="H42" s="30"/>
      <c r="I42" s="71">
        <v>2</v>
      </c>
      <c r="J42" s="47">
        <v>12</v>
      </c>
      <c r="K42" s="29"/>
      <c r="L42" s="30"/>
      <c r="M42" s="71">
        <v>2</v>
      </c>
      <c r="N42" s="47">
        <v>15</v>
      </c>
      <c r="O42" s="29"/>
      <c r="P42" s="30"/>
      <c r="Q42" s="71">
        <v>2</v>
      </c>
      <c r="R42" s="47">
        <v>12</v>
      </c>
      <c r="S42" s="29"/>
      <c r="T42" s="30"/>
      <c r="U42" s="71">
        <v>3</v>
      </c>
      <c r="V42" s="47">
        <v>12</v>
      </c>
      <c r="W42" s="29"/>
      <c r="X42" s="30"/>
      <c r="Y42" s="71">
        <v>3</v>
      </c>
      <c r="Z42" s="47">
        <v>15</v>
      </c>
      <c r="AA42" s="29"/>
      <c r="AB42" s="30"/>
    </row>
    <row r="43" ht="59" customHeight="1">
      <c r="A43" t="s" s="118">
        <v>215</v>
      </c>
      <c r="B43" s="199"/>
      <c r="C43" t="s" s="116">
        <v>48</v>
      </c>
      <c r="D43" s="117"/>
      <c r="E43" s="76">
        <v>2</v>
      </c>
      <c r="F43" s="181">
        <v>10</v>
      </c>
      <c r="G43" s="29"/>
      <c r="H43" s="30"/>
      <c r="I43" s="76">
        <v>2</v>
      </c>
      <c r="J43" s="181">
        <v>12</v>
      </c>
      <c r="K43" s="29"/>
      <c r="L43" s="30"/>
      <c r="M43" s="76">
        <v>2</v>
      </c>
      <c r="N43" s="181">
        <v>15</v>
      </c>
      <c r="O43" s="29"/>
      <c r="P43" s="30"/>
      <c r="Q43" s="76">
        <v>2</v>
      </c>
      <c r="R43" s="181">
        <v>12</v>
      </c>
      <c r="S43" s="29"/>
      <c r="T43" s="30"/>
      <c r="U43" s="76">
        <v>3</v>
      </c>
      <c r="V43" s="181">
        <v>12</v>
      </c>
      <c r="W43" s="29"/>
      <c r="X43" s="30"/>
      <c r="Y43" s="76">
        <v>3</v>
      </c>
      <c r="Z43" s="181">
        <v>15</v>
      </c>
      <c r="AA43" s="29"/>
      <c r="AB43" s="30"/>
    </row>
    <row r="44" ht="50.4" customHeight="1">
      <c r="A44" t="s" s="121">
        <v>216</v>
      </c>
      <c r="B44" s="200"/>
      <c r="C44" t="s" s="201">
        <v>157</v>
      </c>
      <c r="D44" s="124"/>
      <c r="E44" s="76">
        <v>2</v>
      </c>
      <c r="F44" s="181">
        <v>10</v>
      </c>
      <c r="G44" s="29"/>
      <c r="H44" s="30"/>
      <c r="I44" s="76">
        <v>2</v>
      </c>
      <c r="J44" s="181">
        <v>12</v>
      </c>
      <c r="K44" s="29"/>
      <c r="L44" s="30"/>
      <c r="M44" s="76">
        <v>2</v>
      </c>
      <c r="N44" s="181">
        <v>15</v>
      </c>
      <c r="O44" s="29"/>
      <c r="P44" s="30"/>
      <c r="Q44" s="76">
        <v>2</v>
      </c>
      <c r="R44" s="181">
        <v>12</v>
      </c>
      <c r="S44" s="29"/>
      <c r="T44" s="30"/>
      <c r="U44" s="76">
        <v>3</v>
      </c>
      <c r="V44" s="181">
        <v>12</v>
      </c>
      <c r="W44" s="29"/>
      <c r="X44" s="30"/>
      <c r="Y44" s="76">
        <v>3</v>
      </c>
      <c r="Z44" s="181">
        <v>15</v>
      </c>
      <c r="AA44" s="29"/>
      <c r="AB44" s="30"/>
    </row>
    <row r="45" ht="13.65" customHeight="1">
      <c r="A45" s="12"/>
      <c r="B45" s="12"/>
      <c r="C45" s="13"/>
      <c r="D45" s="13"/>
      <c r="E45" s="82"/>
      <c r="F45" s="83"/>
      <c r="G45" s="83"/>
      <c r="H45" s="84"/>
      <c r="I45" s="82"/>
      <c r="J45" s="83"/>
      <c r="K45" s="83"/>
      <c r="L45" s="84"/>
      <c r="M45" s="82"/>
      <c r="N45" s="83"/>
      <c r="O45" s="83"/>
      <c r="P45" s="84"/>
      <c r="Q45" s="82"/>
      <c r="R45" s="83"/>
      <c r="S45" s="83"/>
      <c r="T45" s="84"/>
      <c r="U45" s="82"/>
      <c r="V45" s="83"/>
      <c r="W45" s="83"/>
      <c r="X45" s="84"/>
      <c r="Y45" s="82"/>
      <c r="Z45" s="83"/>
      <c r="AA45" s="83"/>
      <c r="AB45" s="84"/>
    </row>
    <row r="46" ht="37.5" customHeight="1">
      <c r="A46" s="125"/>
      <c r="B46" s="125"/>
      <c r="C46" s="126"/>
      <c r="D46" s="127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</row>
    <row r="47" ht="37.5" customHeight="1">
      <c r="A47" t="s" s="7">
        <v>98</v>
      </c>
      <c r="B47" s="2"/>
      <c r="C47" s="2"/>
      <c r="D47" s="2"/>
      <c r="E47" s="91"/>
      <c r="F47" s="92"/>
      <c r="G47" s="93"/>
      <c r="H47" s="94"/>
      <c r="I47" s="91"/>
      <c r="J47" s="92"/>
      <c r="K47" s="93"/>
      <c r="L47" s="94"/>
      <c r="M47" s="91"/>
      <c r="N47" s="92"/>
      <c r="O47" s="93"/>
      <c r="P47" s="94"/>
      <c r="Q47" s="91"/>
      <c r="R47" s="92"/>
      <c r="S47" s="93"/>
      <c r="T47" s="94"/>
      <c r="U47" s="91"/>
      <c r="V47" s="92"/>
      <c r="W47" s="93"/>
      <c r="X47" s="94"/>
      <c r="Y47" s="91"/>
      <c r="Z47" s="92"/>
      <c r="AA47" s="93"/>
      <c r="AB47" s="94"/>
    </row>
    <row r="48" ht="37.5" customHeight="1">
      <c r="A48" t="s" s="17">
        <v>14</v>
      </c>
      <c r="B48" s="18"/>
      <c r="C48" s="19"/>
      <c r="D48" s="19"/>
      <c r="E48" s="20"/>
      <c r="F48" t="s" s="21">
        <v>99</v>
      </c>
      <c r="G48" s="22"/>
      <c r="H48" s="23"/>
      <c r="I48" s="20"/>
      <c r="J48" t="s" s="21">
        <v>99</v>
      </c>
      <c r="K48" s="22"/>
      <c r="L48" s="23"/>
      <c r="M48" s="20"/>
      <c r="N48" t="s" s="21">
        <v>99</v>
      </c>
      <c r="O48" s="22"/>
      <c r="P48" s="23"/>
      <c r="Q48" s="20"/>
      <c r="R48" t="s" s="21">
        <v>99</v>
      </c>
      <c r="S48" s="22"/>
      <c r="T48" s="23"/>
      <c r="U48" s="20"/>
      <c r="V48" t="s" s="21">
        <v>99</v>
      </c>
      <c r="W48" s="22"/>
      <c r="X48" s="23"/>
      <c r="Y48" s="20"/>
      <c r="Z48" t="s" s="21">
        <v>99</v>
      </c>
      <c r="AA48" s="22"/>
      <c r="AB48" s="23"/>
    </row>
    <row r="49" ht="54.4" customHeight="1">
      <c r="A49" t="s" s="24">
        <v>16</v>
      </c>
      <c r="B49" t="s" s="24">
        <v>17</v>
      </c>
      <c r="C49" t="s" s="25">
        <v>18</v>
      </c>
      <c r="D49" s="26"/>
      <c r="E49" s="27">
        <v>1</v>
      </c>
      <c r="F49" t="s" s="28">
        <v>100</v>
      </c>
      <c r="G49" s="29"/>
      <c r="H49" s="30"/>
      <c r="I49" s="27">
        <v>1</v>
      </c>
      <c r="J49" t="s" s="28">
        <v>100</v>
      </c>
      <c r="K49" s="29"/>
      <c r="L49" s="30"/>
      <c r="M49" s="27">
        <v>1</v>
      </c>
      <c r="N49" t="s" s="28">
        <v>100</v>
      </c>
      <c r="O49" s="29"/>
      <c r="P49" s="30"/>
      <c r="Q49" s="27">
        <v>1</v>
      </c>
      <c r="R49" t="s" s="28">
        <v>100</v>
      </c>
      <c r="S49" s="29"/>
      <c r="T49" s="30"/>
      <c r="U49" s="27">
        <v>1</v>
      </c>
      <c r="V49" t="s" s="28">
        <v>100</v>
      </c>
      <c r="W49" s="29"/>
      <c r="X49" s="30"/>
      <c r="Y49" s="27">
        <v>1</v>
      </c>
      <c r="Z49" t="s" s="28">
        <v>100</v>
      </c>
      <c r="AA49" s="29"/>
      <c r="AB49" s="30"/>
    </row>
    <row r="50" ht="59" customHeight="1">
      <c r="A50" t="s" s="31">
        <v>20</v>
      </c>
      <c r="B50" t="s" s="31">
        <v>17</v>
      </c>
      <c r="C50" t="s" s="32">
        <v>21</v>
      </c>
      <c r="D50" s="33"/>
      <c r="E50" s="27">
        <v>1</v>
      </c>
      <c r="F50" t="s" s="28">
        <v>100</v>
      </c>
      <c r="G50" s="29"/>
      <c r="H50" s="30"/>
      <c r="I50" s="27">
        <v>1</v>
      </c>
      <c r="J50" t="s" s="28">
        <v>100</v>
      </c>
      <c r="K50" s="29"/>
      <c r="L50" s="30"/>
      <c r="M50" s="27">
        <v>1</v>
      </c>
      <c r="N50" t="s" s="28">
        <v>100</v>
      </c>
      <c r="O50" s="29"/>
      <c r="P50" s="30"/>
      <c r="Q50" s="27">
        <v>1</v>
      </c>
      <c r="R50" t="s" s="28">
        <v>100</v>
      </c>
      <c r="S50" s="29"/>
      <c r="T50" s="30"/>
      <c r="U50" s="27">
        <v>1</v>
      </c>
      <c r="V50" t="s" s="28">
        <v>100</v>
      </c>
      <c r="W50" s="29"/>
      <c r="X50" s="30"/>
      <c r="Y50" s="27">
        <v>1</v>
      </c>
      <c r="Z50" t="s" s="28">
        <v>100</v>
      </c>
      <c r="AA50" s="29"/>
      <c r="AB50" s="30"/>
    </row>
    <row r="51" ht="51" customHeight="1">
      <c r="A51" t="s" s="129">
        <v>70</v>
      </c>
      <c r="B51" t="s" s="129">
        <v>71</v>
      </c>
      <c r="C51" t="s" s="32">
        <v>18</v>
      </c>
      <c r="D51" s="33"/>
      <c r="E51" s="27">
        <v>1</v>
      </c>
      <c r="F51" t="s" s="28">
        <v>101</v>
      </c>
      <c r="G51" s="29"/>
      <c r="H51" s="30"/>
      <c r="I51" s="27">
        <v>1</v>
      </c>
      <c r="J51" t="s" s="28">
        <v>101</v>
      </c>
      <c r="K51" s="29"/>
      <c r="L51" s="30"/>
      <c r="M51" s="27">
        <v>1</v>
      </c>
      <c r="N51" t="s" s="28">
        <v>101</v>
      </c>
      <c r="O51" s="29"/>
      <c r="P51" s="30"/>
      <c r="Q51" s="27">
        <v>1</v>
      </c>
      <c r="R51" t="s" s="28">
        <v>101</v>
      </c>
      <c r="S51" s="29"/>
      <c r="T51" s="30"/>
      <c r="U51" s="27">
        <v>1</v>
      </c>
      <c r="V51" t="s" s="28">
        <v>101</v>
      </c>
      <c r="W51" s="29"/>
      <c r="X51" s="30"/>
      <c r="Y51" s="27">
        <v>1</v>
      </c>
      <c r="Z51" t="s" s="28">
        <v>101</v>
      </c>
      <c r="AA51" s="29"/>
      <c r="AB51" s="30"/>
    </row>
    <row r="52" ht="51" customHeight="1">
      <c r="A52" t="s" s="131">
        <v>102</v>
      </c>
      <c r="B52" t="s" s="132">
        <v>103</v>
      </c>
      <c r="C52" t="str" s="202" cm="1">
        <f t="array" ref="C52">HYPERLINK("https://youtu.be/wn-LE0wmNg8?si=JI9-TCcIDtGPHiA3","video")</f>
        <v>video</v>
      </c>
      <c r="D52" s="134"/>
      <c r="E52" s="27">
        <v>2</v>
      </c>
      <c r="F52" t="s" s="28">
        <v>105</v>
      </c>
      <c r="G52" t="s" s="28">
        <v>106</v>
      </c>
      <c r="H52" t="s" s="64">
        <v>107</v>
      </c>
      <c r="I52" s="27">
        <v>2</v>
      </c>
      <c r="J52" t="s" s="28">
        <v>105</v>
      </c>
      <c r="K52" t="s" s="28">
        <v>106</v>
      </c>
      <c r="L52" t="s" s="64">
        <v>107</v>
      </c>
      <c r="M52" s="27">
        <v>2</v>
      </c>
      <c r="N52" t="s" s="28">
        <v>105</v>
      </c>
      <c r="O52" t="s" s="28">
        <v>106</v>
      </c>
      <c r="P52" t="s" s="64">
        <v>107</v>
      </c>
      <c r="Q52" s="27">
        <v>2</v>
      </c>
      <c r="R52" t="s" s="28">
        <v>105</v>
      </c>
      <c r="S52" t="s" s="28">
        <v>106</v>
      </c>
      <c r="T52" t="s" s="64">
        <v>107</v>
      </c>
      <c r="U52" s="27">
        <v>2</v>
      </c>
      <c r="V52" t="s" s="28">
        <v>105</v>
      </c>
      <c r="W52" t="s" s="28">
        <v>106</v>
      </c>
      <c r="X52" t="s" s="64">
        <v>107</v>
      </c>
      <c r="Y52" s="27">
        <v>2</v>
      </c>
      <c r="Z52" t="s" s="28">
        <v>105</v>
      </c>
      <c r="AA52" t="s" s="28">
        <v>106</v>
      </c>
      <c r="AB52" t="s" s="64">
        <v>107</v>
      </c>
    </row>
    <row r="53" ht="162.9" customHeight="1">
      <c r="A53" t="s" s="17">
        <v>108</v>
      </c>
      <c r="B53" t="s" s="17">
        <v>73</v>
      </c>
      <c r="C53" s="19"/>
      <c r="D53" s="95"/>
      <c r="E53" s="96"/>
      <c r="F53" t="s" s="97">
        <v>109</v>
      </c>
      <c r="G53" s="98"/>
      <c r="H53" t="s" s="135">
        <v>32</v>
      </c>
      <c r="I53" s="96"/>
      <c r="J53" t="s" s="97">
        <v>109</v>
      </c>
      <c r="K53" s="98"/>
      <c r="L53" t="s" s="135">
        <v>32</v>
      </c>
      <c r="M53" s="96"/>
      <c r="N53" t="s" s="97">
        <v>109</v>
      </c>
      <c r="O53" s="98"/>
      <c r="P53" t="s" s="135">
        <v>32</v>
      </c>
      <c r="Q53" s="96"/>
      <c r="R53" t="s" s="97">
        <v>109</v>
      </c>
      <c r="S53" s="98"/>
      <c r="T53" t="s" s="135">
        <v>32</v>
      </c>
      <c r="U53" s="96"/>
      <c r="V53" t="s" s="97">
        <v>109</v>
      </c>
      <c r="W53" s="98"/>
      <c r="X53" t="s" s="135">
        <v>32</v>
      </c>
      <c r="Y53" s="96"/>
      <c r="Z53" t="s" s="97">
        <v>109</v>
      </c>
      <c r="AA53" s="98"/>
      <c r="AB53" t="s" s="135">
        <v>32</v>
      </c>
    </row>
    <row r="54" ht="127.2" customHeight="1">
      <c r="A54" t="s" s="136">
        <v>217</v>
      </c>
      <c r="B54" s="194"/>
      <c r="C54" t="s" s="137">
        <v>18</v>
      </c>
      <c r="D54" s="138"/>
      <c r="E54" s="27">
        <v>5</v>
      </c>
      <c r="F54" t="s" s="28">
        <v>112</v>
      </c>
      <c r="G54" s="47" cm="1">
        <f t="array" ref="G54">$D54*(1.0278-0.0278*12)</f>
        <v>0</v>
      </c>
      <c r="H54" s="48" cm="1">
        <f t="array" ref="H54">$D54*(1.0278-0.0278*12)</f>
        <v>0</v>
      </c>
      <c r="I54" s="27">
        <v>5</v>
      </c>
      <c r="J54" t="s" s="28">
        <v>112</v>
      </c>
      <c r="K54" s="47" cm="1">
        <f t="array" ref="K54">$D54*(1.0278-0.0278*12)</f>
        <v>0</v>
      </c>
      <c r="L54" s="48" cm="1">
        <f t="array" ref="L54">$D54*(1.0278-0.0278*12)</f>
        <v>0</v>
      </c>
      <c r="M54" s="27">
        <v>5</v>
      </c>
      <c r="N54" t="s" s="28">
        <v>112</v>
      </c>
      <c r="O54" s="47" cm="1">
        <f t="array" ref="O54">$D54*(1.0278-0.0278*12)</f>
        <v>0</v>
      </c>
      <c r="P54" s="48" cm="1">
        <f t="array" ref="P54">$D54*(1.0278-0.0278*12)</f>
        <v>0</v>
      </c>
      <c r="Q54" s="27">
        <v>5</v>
      </c>
      <c r="R54" t="s" s="28">
        <v>112</v>
      </c>
      <c r="S54" s="47" cm="1">
        <f t="array" ref="S54">$D54*(1.0278-0.0278*12)</f>
        <v>0</v>
      </c>
      <c r="T54" s="48" cm="1">
        <f t="array" ref="T54">$D54*(1.0278-0.0278*12)</f>
        <v>0</v>
      </c>
      <c r="U54" s="27">
        <v>5</v>
      </c>
      <c r="V54" t="s" s="28">
        <v>112</v>
      </c>
      <c r="W54" s="47" cm="1">
        <f t="array" ref="W54">$D54*(1.0278-0.0278*12)</f>
        <v>0</v>
      </c>
      <c r="X54" s="48" cm="1">
        <f t="array" ref="X54">$D54*(1.0278-0.0278*12)</f>
        <v>0</v>
      </c>
      <c r="Y54" s="27">
        <v>5</v>
      </c>
      <c r="Z54" t="s" s="28">
        <v>112</v>
      </c>
      <c r="AA54" s="47" cm="1">
        <f t="array" ref="AA54">$D54*(1.0278-0.0278*12)</f>
        <v>0</v>
      </c>
      <c r="AB54" s="47" cm="1">
        <f t="array" ref="AB54">$D54*(1.0278-0.0278*12)</f>
        <v>0</v>
      </c>
    </row>
    <row r="55" ht="67.1" customHeight="1">
      <c r="A55" t="s" s="139">
        <v>218</v>
      </c>
      <c r="B55" s="203"/>
      <c r="C55" t="s" s="141">
        <v>18</v>
      </c>
      <c r="D55" s="142"/>
      <c r="E55" s="27">
        <v>5</v>
      </c>
      <c r="F55" t="s" s="28">
        <v>112</v>
      </c>
      <c r="G55" s="47" cm="1">
        <f t="array" ref="G55">$D55*(1.0278-0.0278*6)</f>
        <v>0</v>
      </c>
      <c r="H55" s="48" cm="1">
        <f t="array" ref="H55">$D55*(1.0278-0.0278*6)</f>
        <v>0</v>
      </c>
      <c r="I55" s="27">
        <v>5</v>
      </c>
      <c r="J55" t="s" s="28">
        <v>112</v>
      </c>
      <c r="K55" s="47" cm="1">
        <f t="array" ref="K55">$D55*(1.0278-0.0278*6)</f>
        <v>0</v>
      </c>
      <c r="L55" s="48" cm="1">
        <f t="array" ref="L55">$D55*(1.0278-0.0278*6)</f>
        <v>0</v>
      </c>
      <c r="M55" s="27">
        <v>5</v>
      </c>
      <c r="N55" t="s" s="28">
        <v>112</v>
      </c>
      <c r="O55" s="47" cm="1">
        <f t="array" ref="O55">$D55*(1.0278-0.0278*6)</f>
        <v>0</v>
      </c>
      <c r="P55" s="48" cm="1">
        <f t="array" ref="P55">$D55*(1.0278-0.0278*6)</f>
        <v>0</v>
      </c>
      <c r="Q55" s="27">
        <v>5</v>
      </c>
      <c r="R55" t="s" s="28">
        <v>112</v>
      </c>
      <c r="S55" s="47" cm="1">
        <f t="array" ref="S55">$D55*(1.0278-0.0278*6)</f>
        <v>0</v>
      </c>
      <c r="T55" s="48" cm="1">
        <f t="array" ref="T55">$D55*(1.0278-0.0278*6)</f>
        <v>0</v>
      </c>
      <c r="U55" s="27">
        <v>5</v>
      </c>
      <c r="V55" t="s" s="28">
        <v>112</v>
      </c>
      <c r="W55" s="47" cm="1">
        <f t="array" ref="W55">$D55*(1.0278-0.0278*6)</f>
        <v>0</v>
      </c>
      <c r="X55" s="48" cm="1">
        <f t="array" ref="X55">$D55*(1.0278-0.0278*6)</f>
        <v>0</v>
      </c>
      <c r="Y55" s="27">
        <v>5</v>
      </c>
      <c r="Z55" t="s" s="28">
        <v>112</v>
      </c>
      <c r="AA55" s="47" cm="1">
        <f t="array" ref="AA55">$D55*(1.0278-0.0278*6)</f>
        <v>0</v>
      </c>
      <c r="AB55" s="47" cm="1">
        <f t="array" ref="AB55">$D55*(1.0278-0.0278*6)</f>
        <v>0</v>
      </c>
    </row>
    <row r="56" ht="174.4" customHeight="1">
      <c r="A56" t="s" s="54">
        <v>115</v>
      </c>
      <c r="B56" t="s" s="17">
        <v>73</v>
      </c>
      <c r="C56" s="55"/>
      <c r="D56" s="95"/>
      <c r="E56" s="96"/>
      <c r="F56" t="s" s="97">
        <v>109</v>
      </c>
      <c r="G56" s="98"/>
      <c r="H56" s="99"/>
      <c r="I56" s="96"/>
      <c r="J56" t="s" s="97">
        <v>109</v>
      </c>
      <c r="K56" s="98"/>
      <c r="L56" s="99"/>
      <c r="M56" s="96"/>
      <c r="N56" t="s" s="97">
        <v>109</v>
      </c>
      <c r="O56" s="98"/>
      <c r="P56" s="99"/>
      <c r="Q56" s="96"/>
      <c r="R56" t="s" s="97">
        <v>109</v>
      </c>
      <c r="S56" s="98"/>
      <c r="T56" s="99"/>
      <c r="U56" s="96"/>
      <c r="V56" t="s" s="97">
        <v>109</v>
      </c>
      <c r="W56" s="98"/>
      <c r="X56" s="99"/>
      <c r="Y56" s="96"/>
      <c r="Z56" t="s" s="97">
        <v>109</v>
      </c>
      <c r="AA56" s="98"/>
      <c r="AB56" s="99"/>
    </row>
    <row r="57" ht="90.4" customHeight="1">
      <c r="A57" t="s" s="136">
        <v>163</v>
      </c>
      <c r="B57" t="s" s="56">
        <v>219</v>
      </c>
      <c r="C57" t="s" s="137">
        <v>48</v>
      </c>
      <c r="D57" s="138"/>
      <c r="E57" s="27">
        <v>5</v>
      </c>
      <c r="F57" t="s" s="28">
        <v>112</v>
      </c>
      <c r="G57" s="47" cm="1">
        <f t="array" ref="G57">$D57*(1.0278-0.0278*6)</f>
        <v>0</v>
      </c>
      <c r="H57" s="48" cm="1">
        <f t="array" ref="H57">$D57*(1.0278-0.0278*6)</f>
        <v>0</v>
      </c>
      <c r="I57" s="27">
        <v>5</v>
      </c>
      <c r="J57" t="s" s="28">
        <v>112</v>
      </c>
      <c r="K57" s="47" cm="1">
        <f t="array" ref="K57">$D57*(1.0278-0.0278*6)</f>
        <v>0</v>
      </c>
      <c r="L57" s="48" cm="1">
        <f t="array" ref="L57">$D57*(1.0278-0.0278*6)</f>
        <v>0</v>
      </c>
      <c r="M57" s="27">
        <v>5</v>
      </c>
      <c r="N57" t="s" s="28">
        <v>112</v>
      </c>
      <c r="O57" s="47" cm="1">
        <f t="array" ref="O57">$D57*(1.0278-0.0278*6)</f>
        <v>0</v>
      </c>
      <c r="P57" s="48" cm="1">
        <f t="array" ref="P57">$D57*(1.0278-0.0278*6)</f>
        <v>0</v>
      </c>
      <c r="Q57" s="27">
        <v>5</v>
      </c>
      <c r="R57" t="s" s="28">
        <v>112</v>
      </c>
      <c r="S57" s="47" cm="1">
        <f t="array" ref="S57">$D57*(1.0278-0.0278*6)</f>
        <v>0</v>
      </c>
      <c r="T57" s="48" cm="1">
        <f t="array" ref="T57">$D57*(1.0278-0.0278*6)</f>
        <v>0</v>
      </c>
      <c r="U57" s="27">
        <v>5</v>
      </c>
      <c r="V57" t="s" s="28">
        <v>112</v>
      </c>
      <c r="W57" s="47" cm="1">
        <f t="array" ref="W57">$D57*(1.0278-0.0278*6)</f>
        <v>0</v>
      </c>
      <c r="X57" s="48" cm="1">
        <f t="array" ref="X57">$D57*(1.0278-0.0278*6)</f>
        <v>0</v>
      </c>
      <c r="Y57" s="27">
        <v>5</v>
      </c>
      <c r="Z57" t="s" s="28">
        <v>112</v>
      </c>
      <c r="AA57" s="47" cm="1">
        <f t="array" ref="AA57">$D57*(1.0278-0.0278*6)</f>
        <v>0</v>
      </c>
      <c r="AB57" s="47" cm="1">
        <f t="array" ref="AB57">$D57*(1.0278-0.0278*6)</f>
        <v>0</v>
      </c>
    </row>
    <row r="58" ht="84.05" customHeight="1">
      <c r="A58" t="s" s="139">
        <v>220</v>
      </c>
      <c r="B58" t="s" s="140">
        <v>120</v>
      </c>
      <c r="C58" t="s" s="141">
        <v>21</v>
      </c>
      <c r="D58" s="142"/>
      <c r="E58" s="39">
        <v>5</v>
      </c>
      <c r="F58" t="s" s="40">
        <v>121</v>
      </c>
      <c r="G58" s="143" cm="1">
        <f t="array" ref="G58">$D58*(1.0278-0.0278*8)</f>
        <v>0</v>
      </c>
      <c r="H58" s="144" cm="1">
        <f t="array" ref="H58">$D58*(1.0278-0.0278*7)</f>
        <v>0</v>
      </c>
      <c r="I58" s="39">
        <v>5</v>
      </c>
      <c r="J58" t="s" s="40">
        <v>121</v>
      </c>
      <c r="K58" s="143" cm="1">
        <f t="array" ref="K58">$D58*(1.0278-0.0278*8)</f>
        <v>0</v>
      </c>
      <c r="L58" s="144" cm="1">
        <f t="array" ref="L58">$D58*(1.0278-0.0278*7)</f>
        <v>0</v>
      </c>
      <c r="M58" s="39">
        <v>5</v>
      </c>
      <c r="N58" t="s" s="40">
        <v>121</v>
      </c>
      <c r="O58" s="143" cm="1">
        <f t="array" ref="O58">$D58*(1.0278-0.0278*8)</f>
        <v>0</v>
      </c>
      <c r="P58" s="144" cm="1">
        <f t="array" ref="P58">$D58*(1.0278-0.0278*7)</f>
        <v>0</v>
      </c>
      <c r="Q58" s="39">
        <v>5</v>
      </c>
      <c r="R58" t="s" s="40">
        <v>121</v>
      </c>
      <c r="S58" s="143" cm="1">
        <f t="array" ref="S58">$D58*(1.0278-0.0278*8)</f>
        <v>0</v>
      </c>
      <c r="T58" s="144" cm="1">
        <f t="array" ref="T58">$D58*(1.0278-0.0278*7)</f>
        <v>0</v>
      </c>
      <c r="U58" s="39">
        <v>5</v>
      </c>
      <c r="V58" t="s" s="40">
        <v>121</v>
      </c>
      <c r="W58" s="143" cm="1">
        <f t="array" ref="W58">$D58*(1.0278-0.0278*8)</f>
        <v>0</v>
      </c>
      <c r="X58" s="144" cm="1">
        <f t="array" ref="X58">$D58*(1.0278-0.0278*7)</f>
        <v>0</v>
      </c>
      <c r="Y58" s="39">
        <v>5</v>
      </c>
      <c r="Z58" t="s" s="40">
        <v>121</v>
      </c>
      <c r="AA58" s="143" cm="1">
        <f t="array" ref="AA58">$D58*(1.0278-0.0278*8)</f>
        <v>0</v>
      </c>
      <c r="AB58" s="143" cm="1">
        <f t="array" ref="AB58">$D58*(1.0278-0.0278*7)</f>
        <v>0</v>
      </c>
    </row>
    <row r="59" ht="18.9" customHeight="1">
      <c r="A59" s="12"/>
      <c r="B59" s="12"/>
      <c r="C59" s="13"/>
      <c r="D59" s="13"/>
      <c r="E59" s="14"/>
      <c r="F59" s="15"/>
      <c r="G59" s="15"/>
      <c r="H59" s="16"/>
      <c r="I59" s="14"/>
      <c r="J59" s="15"/>
      <c r="K59" s="15"/>
      <c r="L59" s="16"/>
      <c r="M59" s="14"/>
      <c r="N59" s="15"/>
      <c r="O59" s="15"/>
      <c r="P59" s="16"/>
      <c r="Q59" s="14"/>
      <c r="R59" s="15"/>
      <c r="S59" s="15"/>
      <c r="T59" s="16"/>
      <c r="U59" s="14"/>
      <c r="V59" s="15"/>
      <c r="W59" s="15"/>
      <c r="X59" s="16"/>
      <c r="Y59" s="14"/>
      <c r="Z59" s="15"/>
      <c r="AA59" s="15"/>
      <c r="AB59" s="16"/>
    </row>
    <row r="60" ht="37.5" customHeight="1">
      <c r="A60" s="145"/>
      <c r="B60" s="145"/>
      <c r="C60" s="146"/>
      <c r="D60" s="147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</row>
    <row r="761" ht="15.75" customHeight="1">
      <c r="A761" s="149"/>
      <c r="B761" s="149"/>
      <c r="C761" s="150"/>
      <c r="D761" s="151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</row>
    <row r="762" ht="15.75" customHeight="1">
      <c r="A762" s="149"/>
      <c r="B762" s="149"/>
      <c r="C762" s="150"/>
      <c r="D762" s="151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</row>
    <row r="763" ht="15.75" customHeight="1">
      <c r="A763" s="149"/>
      <c r="B763" s="149"/>
      <c r="C763" s="150"/>
      <c r="D763" s="151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</row>
    <row r="764" ht="15.75" customHeight="1">
      <c r="A764" s="149"/>
      <c r="B764" s="149"/>
      <c r="C764" s="150"/>
      <c r="D764" s="151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</row>
    <row r="765" ht="15.75" customHeight="1">
      <c r="A765" s="149"/>
      <c r="B765" s="149"/>
      <c r="C765" s="150"/>
      <c r="D765" s="151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</row>
    <row r="766" ht="15.75" customHeight="1">
      <c r="A766" s="149"/>
      <c r="B766" s="149"/>
      <c r="C766" s="150"/>
      <c r="D766" s="151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</row>
    <row r="767" ht="15.75" customHeight="1">
      <c r="A767" s="149"/>
      <c r="B767" s="149"/>
      <c r="C767" s="150"/>
      <c r="D767" s="151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</row>
    <row r="768" ht="15.75" customHeight="1">
      <c r="A768" s="149"/>
      <c r="B768" s="149"/>
      <c r="C768" s="150"/>
      <c r="D768" s="151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</row>
    <row r="769" ht="15.75" customHeight="1">
      <c r="A769" s="149"/>
      <c r="B769" s="149"/>
      <c r="C769" s="150"/>
      <c r="D769" s="151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</row>
    <row r="770" ht="15.75" customHeight="1">
      <c r="A770" s="149"/>
      <c r="B770" s="149"/>
      <c r="C770" s="150"/>
      <c r="D770" s="151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</row>
    <row r="771" ht="15.75" customHeight="1">
      <c r="A771" s="149"/>
      <c r="B771" s="149"/>
      <c r="C771" s="150"/>
      <c r="D771" s="151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</row>
    <row r="772" ht="15.75" customHeight="1">
      <c r="A772" s="149"/>
      <c r="B772" s="149"/>
      <c r="C772" s="150"/>
      <c r="D772" s="151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</row>
    <row r="773" ht="15.75" customHeight="1">
      <c r="A773" s="149"/>
      <c r="B773" s="149"/>
      <c r="C773" s="150"/>
      <c r="D773" s="151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</row>
    <row r="774" ht="15.75" customHeight="1">
      <c r="A774" s="149"/>
      <c r="B774" s="149"/>
      <c r="C774" s="150"/>
      <c r="D774" s="151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</row>
    <row r="775" ht="15.75" customHeight="1">
      <c r="A775" s="149"/>
      <c r="B775" s="149"/>
      <c r="C775" s="150"/>
      <c r="D775" s="151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</row>
    <row r="776" ht="15.75" customHeight="1">
      <c r="A776" s="149"/>
      <c r="B776" s="149"/>
      <c r="C776" s="150"/>
      <c r="D776" s="151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</row>
    <row r="777" ht="15.75" customHeight="1">
      <c r="A777" s="149"/>
      <c r="B777" s="149"/>
      <c r="C777" s="150"/>
      <c r="D777" s="151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</row>
    <row r="778" ht="15.75" customHeight="1">
      <c r="A778" s="149"/>
      <c r="B778" s="149"/>
      <c r="C778" s="150"/>
      <c r="D778" s="151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</row>
    <row r="779" ht="15.75" customHeight="1">
      <c r="A779" s="149"/>
      <c r="B779" s="149"/>
      <c r="C779" s="150"/>
      <c r="D779" s="151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</row>
    <row r="780" ht="15.75" customHeight="1">
      <c r="A780" s="153"/>
      <c r="B780" s="153"/>
      <c r="C780" s="154"/>
      <c r="D780" s="155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</row>
  </sheetData>
  <mergeCells count="18">
    <mergeCell ref="E26:H26"/>
    <mergeCell ref="E47:H47"/>
    <mergeCell ref="E1:H1"/>
    <mergeCell ref="I1:L1"/>
    <mergeCell ref="M1:P1"/>
    <mergeCell ref="Q1:T1"/>
    <mergeCell ref="U1:X1"/>
    <mergeCell ref="Y1:AB1"/>
    <mergeCell ref="I26:L26"/>
    <mergeCell ref="I47:L47"/>
    <mergeCell ref="M26:P26"/>
    <mergeCell ref="M47:P47"/>
    <mergeCell ref="Q26:T26"/>
    <mergeCell ref="Q47:T47"/>
    <mergeCell ref="U26:X26"/>
    <mergeCell ref="U47:X47"/>
    <mergeCell ref="Y26:AB26"/>
    <mergeCell ref="Y47:AB47"/>
  </mergeCells>
  <hyperlinks>
    <hyperlink ref="C6" r:id="rId1" location="" tooltip="" display="Video"/>
    <hyperlink ref="C7" r:id="rId2" location="" tooltip="" display="video"/>
    <hyperlink ref="C8" r:id="rId3" location="" tooltip="" display="Video"/>
    <hyperlink ref="C9" r:id="rId4" location="" tooltip="" display="External Rotation "/>
    <hyperlink ref="C11" r:id="rId5" location="" tooltip="" display="Video "/>
    <hyperlink ref="C12" r:id="rId6" location="" tooltip="" display="Video "/>
    <hyperlink ref="C13" r:id="rId7" location="" tooltip="" display="Video "/>
    <hyperlink ref="C17" r:id="rId8" location="" tooltip="" display="Video "/>
    <hyperlink ref="C18" r:id="rId9" location="" tooltip="" display="Video "/>
    <hyperlink ref="C20" r:id="rId10" location="" tooltip="" display="Video "/>
    <hyperlink ref="C22" r:id="rId11" location="" tooltip="" display="Video "/>
    <hyperlink ref="C28" r:id="rId12" location="" tooltip="" display="Video"/>
    <hyperlink ref="C29" r:id="rId13" location="" tooltip="" display="video"/>
    <hyperlink ref="C30" r:id="rId14" location="" tooltip="" display="Video"/>
    <hyperlink ref="C31" r:id="rId15" location="" tooltip="" display="Video"/>
    <hyperlink ref="C32" r:id="rId16" location="" tooltip="" display="External Rotation "/>
    <hyperlink ref="C34" r:id="rId17" location="" tooltip="" display="Picture "/>
    <hyperlink ref="C35" r:id="rId18" location="" tooltip="" display="Video "/>
    <hyperlink ref="C36" r:id="rId19" location="" tooltip="" display="Video "/>
    <hyperlink ref="C39" r:id="rId20" location="" tooltip="" display="Video "/>
    <hyperlink ref="C40" r:id="rId21" location="" tooltip="" display="Video "/>
    <hyperlink ref="C42" r:id="rId22" location="" tooltip="" display="Video "/>
    <hyperlink ref="C43" r:id="rId23" location="" tooltip="" display="Video "/>
    <hyperlink ref="C44" r:id="rId24" location="" tooltip="" display="Video "/>
    <hyperlink ref="C49" r:id="rId25" location="" tooltip="" display="Video"/>
    <hyperlink ref="C50" r:id="rId26" location="" tooltip="" display="video"/>
    <hyperlink ref="C51" r:id="rId27" location="" tooltip="" display="Video"/>
    <hyperlink ref="C52" r:id="rId28" location="" tooltip="" display="video"/>
    <hyperlink ref="C54" r:id="rId29" location="" tooltip="" display="Video"/>
    <hyperlink ref="C55" r:id="rId30" location="" tooltip="" display="Video"/>
    <hyperlink ref="C57" r:id="rId31" location="" tooltip="" display="Video "/>
    <hyperlink ref="C58" r:id="rId32" location="" tooltip="" display="video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765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204" customWidth="1"/>
    <col min="2" max="2" width="21.8516" style="204" customWidth="1"/>
    <col min="3" max="4" width="12.6719" style="204" customWidth="1"/>
    <col min="5" max="5" width="13.3125" style="204" customWidth="1"/>
    <col min="6" max="6" width="18.1797" style="204" customWidth="1"/>
    <col min="7" max="8" width="14.7031" style="204" customWidth="1"/>
    <col min="9" max="9" width="19.9141" style="204" customWidth="1"/>
    <col min="10" max="10" width="16.0625" style="204" customWidth="1"/>
    <col min="11" max="11" width="16.4531" style="204" customWidth="1"/>
    <col min="12" max="12" width="16.3281" style="204" customWidth="1"/>
    <col min="13" max="13" width="22.3516" style="204" customWidth="1"/>
    <col min="14" max="14" width="20.8516" style="204" customWidth="1"/>
    <col min="15" max="15" width="21.3516" style="204" customWidth="1"/>
    <col min="16" max="16" width="20" style="204" customWidth="1"/>
    <col min="17" max="20" width="17.1719" style="204" customWidth="1"/>
    <col min="21" max="16384" width="12.6719" style="204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</row>
    <row r="2" ht="19.5" customHeight="1">
      <c r="A2" t="s" s="7">
        <v>5</v>
      </c>
      <c r="B2" t="s" s="8">
        <v>6</v>
      </c>
      <c r="C2" t="s" s="8">
        <v>7</v>
      </c>
      <c r="D2" s="3"/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</row>
    <row r="3" ht="19.5" customHeight="1">
      <c r="A3" t="s" s="11">
        <v>13</v>
      </c>
      <c r="B3" s="12"/>
      <c r="C3" s="13"/>
      <c r="D3" s="13"/>
      <c r="E3" s="14"/>
      <c r="F3" s="15"/>
      <c r="G3" s="15"/>
      <c r="H3" s="16"/>
      <c r="I3" s="14"/>
      <c r="J3" s="15"/>
      <c r="K3" s="15"/>
      <c r="L3" s="16"/>
      <c r="M3" s="14"/>
      <c r="N3" s="15"/>
      <c r="O3" s="15"/>
      <c r="P3" s="16"/>
      <c r="Q3" s="14"/>
      <c r="R3" s="15"/>
      <c r="S3" s="15"/>
      <c r="T3" s="16"/>
    </row>
    <row r="4" ht="19.5" customHeight="1">
      <c r="A4" s="18"/>
      <c r="B4" s="18"/>
      <c r="C4" s="19"/>
      <c r="D4" s="19"/>
      <c r="E4" s="205"/>
      <c r="F4" t="s" s="206">
        <v>221</v>
      </c>
      <c r="G4" s="86"/>
      <c r="H4" s="207"/>
      <c r="I4" s="205"/>
      <c r="J4" s="86"/>
      <c r="K4" s="86"/>
      <c r="L4" s="207"/>
      <c r="M4" s="205"/>
      <c r="N4" s="86"/>
      <c r="O4" s="86"/>
      <c r="P4" s="207"/>
      <c r="Q4" s="205"/>
      <c r="R4" s="86"/>
      <c r="S4" s="86"/>
      <c r="T4" s="207"/>
    </row>
    <row r="5" ht="107.75" customHeight="1">
      <c r="A5" t="s" s="24">
        <v>16</v>
      </c>
      <c r="B5" t="s" s="24">
        <v>17</v>
      </c>
      <c r="C5" t="s" s="25">
        <v>18</v>
      </c>
      <c r="D5" s="26"/>
      <c r="E5" s="27">
        <v>1</v>
      </c>
      <c r="F5" t="s" s="28">
        <v>19</v>
      </c>
      <c r="G5" s="29"/>
      <c r="H5" s="30"/>
      <c r="I5" s="27">
        <v>1</v>
      </c>
      <c r="J5" t="s" s="28">
        <v>19</v>
      </c>
      <c r="K5" s="29"/>
      <c r="L5" s="30"/>
      <c r="M5" s="27">
        <v>1</v>
      </c>
      <c r="N5" t="s" s="28">
        <v>19</v>
      </c>
      <c r="O5" s="29"/>
      <c r="P5" s="30"/>
      <c r="Q5" s="27">
        <v>1</v>
      </c>
      <c r="R5" t="s" s="28">
        <v>19</v>
      </c>
      <c r="S5" s="29"/>
      <c r="T5" s="30"/>
    </row>
    <row r="6" ht="105.45" customHeight="1">
      <c r="A6" t="s" s="31">
        <v>20</v>
      </c>
      <c r="B6" t="s" s="31">
        <v>17</v>
      </c>
      <c r="C6" t="s" s="32">
        <v>21</v>
      </c>
      <c r="D6" s="33"/>
      <c r="E6" s="27">
        <v>1</v>
      </c>
      <c r="F6" t="s" s="28">
        <v>19</v>
      </c>
      <c r="G6" s="29"/>
      <c r="H6" s="30"/>
      <c r="I6" s="27">
        <v>1</v>
      </c>
      <c r="J6" t="s" s="28">
        <v>19</v>
      </c>
      <c r="K6" s="29"/>
      <c r="L6" s="30"/>
      <c r="M6" s="27">
        <v>1</v>
      </c>
      <c r="N6" t="s" s="28">
        <v>19</v>
      </c>
      <c r="O6" s="29"/>
      <c r="P6" s="30"/>
      <c r="Q6" s="27">
        <v>1</v>
      </c>
      <c r="R6" t="s" s="28">
        <v>19</v>
      </c>
      <c r="S6" s="29"/>
      <c r="T6" s="30"/>
    </row>
    <row r="7" ht="86.3" customHeight="1">
      <c r="A7" t="s" s="31">
        <v>170</v>
      </c>
      <c r="B7" t="s" s="31">
        <v>171</v>
      </c>
      <c r="C7" t="s" s="34">
        <v>48</v>
      </c>
      <c r="D7" s="35"/>
      <c r="E7" s="27">
        <v>1</v>
      </c>
      <c r="F7" t="s" s="28">
        <v>172</v>
      </c>
      <c r="G7" t="s" s="28">
        <v>173</v>
      </c>
      <c r="H7" t="s" s="64">
        <v>174</v>
      </c>
      <c r="I7" s="27">
        <v>1</v>
      </c>
      <c r="J7" t="s" s="28">
        <v>172</v>
      </c>
      <c r="K7" t="s" s="28">
        <v>173</v>
      </c>
      <c r="L7" t="s" s="64">
        <v>174</v>
      </c>
      <c r="M7" s="27">
        <v>1</v>
      </c>
      <c r="N7" t="s" s="28">
        <v>172</v>
      </c>
      <c r="O7" t="s" s="28">
        <v>175</v>
      </c>
      <c r="P7" t="s" s="64">
        <v>176</v>
      </c>
      <c r="Q7" s="27">
        <v>1</v>
      </c>
      <c r="R7" t="s" s="28">
        <v>172</v>
      </c>
      <c r="S7" t="s" s="28">
        <v>175</v>
      </c>
      <c r="T7" t="s" s="28">
        <v>176</v>
      </c>
    </row>
    <row r="8" ht="112.75" customHeight="1">
      <c r="A8" t="s" s="208">
        <v>167</v>
      </c>
      <c r="B8" s="209"/>
      <c r="C8" t="s" s="32">
        <v>48</v>
      </c>
      <c r="D8" s="33"/>
      <c r="E8" s="27">
        <v>1</v>
      </c>
      <c r="F8" t="s" s="28">
        <v>168</v>
      </c>
      <c r="G8" s="29"/>
      <c r="H8" s="30"/>
      <c r="I8" s="27">
        <v>1</v>
      </c>
      <c r="J8" t="s" s="28">
        <v>168</v>
      </c>
      <c r="K8" s="29"/>
      <c r="L8" s="30"/>
      <c r="M8" s="27">
        <v>1</v>
      </c>
      <c r="N8" t="s" s="28">
        <v>168</v>
      </c>
      <c r="O8" t="s" s="28">
        <v>169</v>
      </c>
      <c r="P8" t="s" s="64">
        <v>169</v>
      </c>
      <c r="Q8" s="27">
        <v>1</v>
      </c>
      <c r="R8" t="s" s="28">
        <v>168</v>
      </c>
      <c r="S8" t="s" s="28">
        <v>169</v>
      </c>
      <c r="T8" t="s" s="64">
        <v>169</v>
      </c>
    </row>
    <row r="9" ht="97.75" customHeight="1">
      <c r="A9" t="s" s="210">
        <v>108</v>
      </c>
      <c r="B9" s="211"/>
      <c r="C9" s="212"/>
      <c r="D9" s="212"/>
      <c r="E9" s="213"/>
      <c r="F9" t="s" s="28">
        <v>222</v>
      </c>
      <c r="G9" s="29"/>
      <c r="H9" s="30"/>
      <c r="I9" s="213"/>
      <c r="J9" s="29"/>
      <c r="K9" s="29"/>
      <c r="L9" s="30"/>
      <c r="M9" s="213"/>
      <c r="N9" s="29"/>
      <c r="O9" s="29"/>
      <c r="P9" s="30"/>
      <c r="Q9" s="213"/>
      <c r="R9" s="29"/>
      <c r="S9" s="29"/>
      <c r="T9" s="30"/>
    </row>
    <row r="10" ht="95.9" customHeight="1">
      <c r="A10" t="s" s="136">
        <v>51</v>
      </c>
      <c r="B10" t="s" s="56">
        <v>52</v>
      </c>
      <c r="C10" t="s" s="137">
        <v>48</v>
      </c>
      <c r="D10" s="138"/>
      <c r="E10" s="27">
        <v>1</v>
      </c>
      <c r="F10" t="s" s="28">
        <v>53</v>
      </c>
      <c r="G10" t="s" s="28">
        <v>54</v>
      </c>
      <c r="H10" t="s" s="64">
        <v>54</v>
      </c>
      <c r="I10" s="27">
        <v>2</v>
      </c>
      <c r="J10" t="s" s="28">
        <v>53</v>
      </c>
      <c r="K10" t="s" s="28">
        <v>54</v>
      </c>
      <c r="L10" t="s" s="64">
        <v>54</v>
      </c>
      <c r="M10" s="27">
        <v>2</v>
      </c>
      <c r="N10" t="s" s="28">
        <v>53</v>
      </c>
      <c r="O10" t="s" s="28">
        <v>54</v>
      </c>
      <c r="P10" t="s" s="64">
        <v>54</v>
      </c>
      <c r="Q10" s="27">
        <v>2</v>
      </c>
      <c r="R10" t="s" s="28">
        <v>53</v>
      </c>
      <c r="S10" t="s" s="28">
        <v>54</v>
      </c>
      <c r="T10" t="s" s="64">
        <v>54</v>
      </c>
    </row>
    <row r="11" ht="97.85" customHeight="1">
      <c r="A11" t="s" s="139">
        <v>223</v>
      </c>
      <c r="B11" t="s" s="140">
        <v>224</v>
      </c>
      <c r="C11" t="s" s="141">
        <v>48</v>
      </c>
      <c r="D11" s="142"/>
      <c r="E11" s="27">
        <v>5</v>
      </c>
      <c r="F11" t="s" s="28">
        <v>225</v>
      </c>
      <c r="G11" s="47" cm="1">
        <f t="array" ref="G11">$D11*(1.0278-0.0278*21)</f>
        <v>0</v>
      </c>
      <c r="H11" s="48" cm="1">
        <f t="array" ref="H11">$D11*(1.0278-0.0278*14)</f>
        <v>0</v>
      </c>
      <c r="I11" s="27">
        <v>6</v>
      </c>
      <c r="J11" t="s" s="28">
        <v>226</v>
      </c>
      <c r="K11" s="47" cm="1">
        <f t="array" ref="K11">$D11*(1.0278-0.0278*21)</f>
        <v>0</v>
      </c>
      <c r="L11" s="48" cm="1">
        <f t="array" ref="L11">$D11*(1.0278-0.0278*14)</f>
        <v>0</v>
      </c>
      <c r="M11" s="27">
        <v>6</v>
      </c>
      <c r="N11" t="s" s="28">
        <v>227</v>
      </c>
      <c r="O11" s="47" cm="1">
        <f t="array" ref="O11">$D11*(1.0278-0.0278*21)</f>
        <v>0</v>
      </c>
      <c r="P11" s="48" cm="1">
        <f t="array" ref="P11">$D11*(1.0278-0.0278*14)</f>
        <v>0</v>
      </c>
      <c r="Q11" s="27">
        <v>6</v>
      </c>
      <c r="R11" t="s" s="28">
        <v>226</v>
      </c>
      <c r="S11" s="47" cm="1">
        <f t="array" ref="S11">$D11*(1.0278-0.0278*21)</f>
        <v>0</v>
      </c>
      <c r="T11" s="48" cm="1">
        <f t="array" ref="T11">$D11*(1.0278-0.0278*14)</f>
        <v>0</v>
      </c>
    </row>
    <row r="12" ht="97.85" customHeight="1">
      <c r="A12" t="s" s="54">
        <v>194</v>
      </c>
      <c r="B12" s="18"/>
      <c r="C12" s="55"/>
      <c r="D12" s="55"/>
      <c r="E12" s="213"/>
      <c r="F12" t="s" s="28">
        <v>222</v>
      </c>
      <c r="G12" s="29"/>
      <c r="H12" s="30"/>
      <c r="I12" s="213"/>
      <c r="J12" s="29"/>
      <c r="K12" s="29"/>
      <c r="L12" s="30"/>
      <c r="M12" s="213"/>
      <c r="N12" s="29"/>
      <c r="O12" s="29"/>
      <c r="P12" s="30"/>
      <c r="Q12" s="213"/>
      <c r="R12" s="29"/>
      <c r="S12" s="29"/>
      <c r="T12" s="30"/>
    </row>
    <row r="13" ht="62.05" customHeight="1">
      <c r="A13" t="s" s="136">
        <v>228</v>
      </c>
      <c r="B13" t="s" s="56">
        <v>229</v>
      </c>
      <c r="C13" s="138"/>
      <c r="D13" s="138"/>
      <c r="E13" s="27">
        <v>5</v>
      </c>
      <c r="F13" t="s" s="28">
        <v>225</v>
      </c>
      <c r="G13" s="47" cm="1">
        <f t="array" ref="G13">$D13*(1.0278-0.0278*21)</f>
        <v>0</v>
      </c>
      <c r="H13" s="48" cm="1">
        <f t="array" ref="H13">$D13*(1.0278-0.0278*14)</f>
        <v>0</v>
      </c>
      <c r="I13" s="27">
        <v>6</v>
      </c>
      <c r="J13" t="s" s="28">
        <v>226</v>
      </c>
      <c r="K13" s="47" cm="1">
        <f t="array" ref="K13">$D13*(1.0278-0.0278*21)</f>
        <v>0</v>
      </c>
      <c r="L13" s="48" cm="1">
        <f t="array" ref="L13">$D13*(1.0278-0.0278*14)</f>
        <v>0</v>
      </c>
      <c r="M13" s="27">
        <v>6</v>
      </c>
      <c r="N13" t="s" s="28">
        <v>230</v>
      </c>
      <c r="O13" s="47" cm="1">
        <f t="array" ref="O13">$D13*(1.0278-0.0278*21)</f>
        <v>0</v>
      </c>
      <c r="P13" s="48" cm="1">
        <f t="array" ref="P13">$D13*(1.0278-0.0278*14)</f>
        <v>0</v>
      </c>
      <c r="Q13" s="27">
        <v>6</v>
      </c>
      <c r="R13" t="s" s="28">
        <v>226</v>
      </c>
      <c r="S13" s="47" cm="1">
        <f t="array" ref="S13">$D13*(1.0278-0.0278*21)</f>
        <v>0</v>
      </c>
      <c r="T13" s="48" cm="1">
        <f t="array" ref="T13">$D13*(1.0278-0.0278*14)</f>
        <v>0</v>
      </c>
    </row>
    <row r="14" ht="36.4" customHeight="1">
      <c r="A14" t="s" s="140">
        <v>231</v>
      </c>
      <c r="B14" t="s" s="140">
        <v>232</v>
      </c>
      <c r="C14" t="s" s="182">
        <v>48</v>
      </c>
      <c r="D14" s="183"/>
      <c r="E14" s="27">
        <v>5</v>
      </c>
      <c r="F14" t="s" s="28">
        <v>233</v>
      </c>
      <c r="G14" t="s" s="28">
        <v>234</v>
      </c>
      <c r="H14" t="s" s="64">
        <v>234</v>
      </c>
      <c r="I14" s="27">
        <v>6</v>
      </c>
      <c r="J14" t="s" s="28">
        <v>233</v>
      </c>
      <c r="K14" t="s" s="28">
        <v>234</v>
      </c>
      <c r="L14" t="s" s="64">
        <v>234</v>
      </c>
      <c r="M14" s="27">
        <v>6</v>
      </c>
      <c r="N14" t="s" s="28">
        <v>233</v>
      </c>
      <c r="O14" t="s" s="28">
        <v>234</v>
      </c>
      <c r="P14" t="s" s="64">
        <v>234</v>
      </c>
      <c r="Q14" s="27">
        <v>6</v>
      </c>
      <c r="R14" t="s" s="28">
        <v>233</v>
      </c>
      <c r="S14" t="s" s="28">
        <v>234</v>
      </c>
      <c r="T14" t="s" s="64">
        <v>234</v>
      </c>
    </row>
    <row r="15" ht="62.05" customHeight="1">
      <c r="A15" t="s" s="17">
        <v>14</v>
      </c>
      <c r="B15" s="18"/>
      <c r="C15" s="19"/>
      <c r="D15" s="19"/>
      <c r="E15" s="213"/>
      <c r="F15" t="s" s="28">
        <v>221</v>
      </c>
      <c r="G15" s="29"/>
      <c r="H15" s="30"/>
      <c r="I15" s="213"/>
      <c r="J15" s="29"/>
      <c r="K15" s="29"/>
      <c r="L15" s="30"/>
      <c r="M15" s="213"/>
      <c r="N15" s="29"/>
      <c r="O15" s="29"/>
      <c r="P15" s="30"/>
      <c r="Q15" s="213"/>
      <c r="R15" s="29"/>
      <c r="S15" s="29"/>
      <c r="T15" s="30"/>
    </row>
    <row r="16" ht="62.05" customHeight="1">
      <c r="A16" t="s" s="214">
        <v>235</v>
      </c>
      <c r="B16" s="215"/>
      <c r="C16" s="216"/>
      <c r="D16" s="216"/>
      <c r="E16" s="213"/>
      <c r="F16" s="29"/>
      <c r="G16" s="29"/>
      <c r="H16" s="30"/>
      <c r="I16" s="213"/>
      <c r="J16" s="29"/>
      <c r="K16" s="29"/>
      <c r="L16" s="30"/>
      <c r="M16" s="213"/>
      <c r="N16" s="29"/>
      <c r="O16" s="29"/>
      <c r="P16" s="30"/>
      <c r="Q16" s="213"/>
      <c r="R16" s="29"/>
      <c r="S16" s="29"/>
      <c r="T16" s="30"/>
    </row>
    <row r="17" ht="10" customHeight="1">
      <c r="A17" s="12"/>
      <c r="B17" s="12"/>
      <c r="C17" s="13"/>
      <c r="D17" s="13"/>
      <c r="E17" s="184"/>
      <c r="F17" s="83"/>
      <c r="G17" s="83"/>
      <c r="H17" s="84"/>
      <c r="I17" s="184"/>
      <c r="J17" s="83"/>
      <c r="K17" s="83"/>
      <c r="L17" s="84"/>
      <c r="M17" s="184"/>
      <c r="N17" s="83"/>
      <c r="O17" s="83"/>
      <c r="P17" s="84"/>
      <c r="Q17" s="184"/>
      <c r="R17" s="83"/>
      <c r="S17" s="83"/>
      <c r="T17" s="84"/>
    </row>
    <row r="18" ht="39" customHeight="1">
      <c r="A18" s="85"/>
      <c r="B18" s="22"/>
      <c r="C18" s="23"/>
      <c r="D18" s="20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</row>
    <row r="19" ht="19.5" customHeight="1">
      <c r="A19" s="87"/>
      <c r="B19" s="88"/>
      <c r="C19" s="89"/>
      <c r="D19" s="9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ht="26" customHeight="1">
      <c r="A20" t="s" s="7">
        <v>68</v>
      </c>
      <c r="B20" s="2"/>
      <c r="C20" s="2"/>
      <c r="D20" s="2"/>
      <c r="E20" s="91"/>
      <c r="F20" s="92"/>
      <c r="G20" s="93"/>
      <c r="H20" s="94"/>
      <c r="I20" s="91"/>
      <c r="J20" s="92"/>
      <c r="K20" s="93"/>
      <c r="L20" s="94"/>
      <c r="M20" s="91"/>
      <c r="N20" s="92"/>
      <c r="O20" s="93"/>
      <c r="P20" s="94"/>
      <c r="Q20" s="91"/>
      <c r="R20" s="92"/>
      <c r="S20" s="93"/>
      <c r="T20" s="94"/>
    </row>
    <row r="21" ht="68.35" customHeight="1">
      <c r="A21" t="s" s="17">
        <v>236</v>
      </c>
      <c r="B21" s="18"/>
      <c r="C21" s="19"/>
      <c r="D21" s="19"/>
      <c r="E21" s="205"/>
      <c r="F21" t="s" s="206">
        <v>221</v>
      </c>
      <c r="G21" s="86"/>
      <c r="H21" s="207"/>
      <c r="I21" s="205"/>
      <c r="J21" s="86"/>
      <c r="K21" s="86"/>
      <c r="L21" s="207"/>
      <c r="M21" s="205"/>
      <c r="N21" s="86"/>
      <c r="O21" s="86"/>
      <c r="P21" s="207"/>
      <c r="Q21" s="205"/>
      <c r="R21" s="86"/>
      <c r="S21" s="86"/>
      <c r="T21" s="207"/>
    </row>
    <row r="22" ht="36.4" customHeight="1">
      <c r="A22" t="s" s="24">
        <v>16</v>
      </c>
      <c r="B22" t="s" s="24">
        <v>17</v>
      </c>
      <c r="C22" t="s" s="25">
        <v>18</v>
      </c>
      <c r="D22" s="26"/>
      <c r="E22" s="27">
        <v>1</v>
      </c>
      <c r="F22" t="s" s="28">
        <v>19</v>
      </c>
      <c r="G22" s="29"/>
      <c r="H22" s="30"/>
      <c r="I22" s="27">
        <v>1</v>
      </c>
      <c r="J22" t="s" s="28">
        <v>19</v>
      </c>
      <c r="K22" s="29"/>
      <c r="L22" s="30"/>
      <c r="M22" s="27">
        <v>1</v>
      </c>
      <c r="N22" t="s" s="28">
        <v>19</v>
      </c>
      <c r="O22" s="29"/>
      <c r="P22" s="30"/>
      <c r="Q22" s="27">
        <v>1</v>
      </c>
      <c r="R22" t="s" s="28">
        <v>19</v>
      </c>
      <c r="S22" s="29"/>
      <c r="T22" s="30"/>
    </row>
    <row r="23" ht="82.7" customHeight="1">
      <c r="A23" t="s" s="31">
        <v>20</v>
      </c>
      <c r="B23" t="s" s="31">
        <v>17</v>
      </c>
      <c r="C23" t="s" s="32">
        <v>21</v>
      </c>
      <c r="D23" s="33"/>
      <c r="E23" s="27">
        <v>1</v>
      </c>
      <c r="F23" t="s" s="28">
        <v>19</v>
      </c>
      <c r="G23" s="29"/>
      <c r="H23" s="30"/>
      <c r="I23" s="27">
        <v>1</v>
      </c>
      <c r="J23" t="s" s="28">
        <v>19</v>
      </c>
      <c r="K23" s="29"/>
      <c r="L23" s="30"/>
      <c r="M23" s="27">
        <v>1</v>
      </c>
      <c r="N23" t="s" s="28">
        <v>19</v>
      </c>
      <c r="O23" s="29"/>
      <c r="P23" s="30"/>
      <c r="Q23" s="27">
        <v>1</v>
      </c>
      <c r="R23" t="s" s="28">
        <v>19</v>
      </c>
      <c r="S23" s="29"/>
      <c r="T23" s="30"/>
    </row>
    <row r="24" ht="35.9" customHeight="1">
      <c r="A24" t="s" s="31">
        <v>208</v>
      </c>
      <c r="B24" t="s" s="31">
        <v>77</v>
      </c>
      <c r="C24" t="s" s="34">
        <v>48</v>
      </c>
      <c r="D24" s="35"/>
      <c r="E24" s="27">
        <v>1</v>
      </c>
      <c r="F24" t="s" s="28">
        <v>67</v>
      </c>
      <c r="G24" s="29"/>
      <c r="H24" s="30"/>
      <c r="I24" s="27">
        <v>1</v>
      </c>
      <c r="J24" t="s" s="28">
        <v>67</v>
      </c>
      <c r="K24" s="29"/>
      <c r="L24" s="30"/>
      <c r="M24" s="27">
        <v>1</v>
      </c>
      <c r="N24" t="s" s="28">
        <v>142</v>
      </c>
      <c r="O24" s="29"/>
      <c r="P24" s="30"/>
      <c r="Q24" s="27">
        <v>1</v>
      </c>
      <c r="R24" t="s" s="28">
        <v>209</v>
      </c>
      <c r="S24" s="29"/>
      <c r="T24" s="30"/>
    </row>
    <row r="25" ht="82.7" customHeight="1">
      <c r="A25" t="s" s="31">
        <v>25</v>
      </c>
      <c r="B25" t="s" s="31">
        <v>26</v>
      </c>
      <c r="C25" t="s" s="32">
        <v>27</v>
      </c>
      <c r="D25" s="35"/>
      <c r="E25" s="27">
        <v>1</v>
      </c>
      <c r="F25" t="s" s="28">
        <v>28</v>
      </c>
      <c r="G25" s="29"/>
      <c r="H25" s="30"/>
      <c r="I25" s="27">
        <v>1</v>
      </c>
      <c r="J25" t="s" s="28">
        <v>28</v>
      </c>
      <c r="K25" s="29"/>
      <c r="L25" s="30"/>
      <c r="M25" s="27">
        <v>1</v>
      </c>
      <c r="N25" t="s" s="28">
        <v>28</v>
      </c>
      <c r="O25" s="29"/>
      <c r="P25" s="30"/>
      <c r="Q25" s="27">
        <v>1</v>
      </c>
      <c r="R25" t="s" s="28">
        <v>28</v>
      </c>
      <c r="S25" s="29"/>
      <c r="T25" s="30"/>
    </row>
    <row r="26" ht="82.7" customHeight="1">
      <c r="A26" t="s" s="36">
        <v>208</v>
      </c>
      <c r="B26" t="s" s="36">
        <v>77</v>
      </c>
      <c r="C26" t="s" s="217">
        <v>48</v>
      </c>
      <c r="D26" s="38"/>
      <c r="E26" s="27">
        <v>1</v>
      </c>
      <c r="F26" t="s" s="28">
        <v>67</v>
      </c>
      <c r="G26" s="29"/>
      <c r="H26" s="30"/>
      <c r="I26" s="27">
        <v>1</v>
      </c>
      <c r="J26" t="s" s="28">
        <v>67</v>
      </c>
      <c r="K26" s="29"/>
      <c r="L26" s="30"/>
      <c r="M26" s="27">
        <v>1</v>
      </c>
      <c r="N26" t="s" s="28">
        <v>142</v>
      </c>
      <c r="O26" s="29"/>
      <c r="P26" s="30"/>
      <c r="Q26" s="27">
        <v>1</v>
      </c>
      <c r="R26" t="s" s="28">
        <v>209</v>
      </c>
      <c r="S26" s="29"/>
      <c r="T26" s="30"/>
    </row>
    <row r="27" ht="171.35" customHeight="1">
      <c r="A27" t="s" s="54">
        <v>40</v>
      </c>
      <c r="B27" s="218"/>
      <c r="C27" s="55"/>
      <c r="D27" s="95"/>
      <c r="E27" s="219"/>
      <c r="F27" t="s" s="28">
        <v>222</v>
      </c>
      <c r="G27" s="29"/>
      <c r="H27" s="30"/>
      <c r="I27" s="219"/>
      <c r="J27" s="29"/>
      <c r="K27" s="29"/>
      <c r="L27" s="30"/>
      <c r="M27" s="219"/>
      <c r="N27" s="29"/>
      <c r="O27" s="29"/>
      <c r="P27" s="30"/>
      <c r="Q27" s="219"/>
      <c r="R27" s="29"/>
      <c r="S27" s="29"/>
      <c r="T27" s="30"/>
    </row>
    <row r="28" ht="171.35" customHeight="1">
      <c r="A28" t="s" s="136">
        <v>237</v>
      </c>
      <c r="B28" t="s" s="56">
        <v>91</v>
      </c>
      <c r="C28" s="220"/>
      <c r="D28" s="138"/>
      <c r="E28" s="76">
        <v>2</v>
      </c>
      <c r="F28" t="s" s="77">
        <v>53</v>
      </c>
      <c r="G28" t="s" s="28">
        <v>54</v>
      </c>
      <c r="H28" t="s" s="64">
        <v>54</v>
      </c>
      <c r="I28" s="76">
        <v>2</v>
      </c>
      <c r="J28" t="s" s="77">
        <v>53</v>
      </c>
      <c r="K28" t="s" s="28">
        <v>54</v>
      </c>
      <c r="L28" t="s" s="64">
        <v>54</v>
      </c>
      <c r="M28" s="76">
        <v>2</v>
      </c>
      <c r="N28" t="s" s="77">
        <v>53</v>
      </c>
      <c r="O28" t="s" s="28">
        <v>54</v>
      </c>
      <c r="P28" t="s" s="64">
        <v>54</v>
      </c>
      <c r="Q28" s="76">
        <v>2</v>
      </c>
      <c r="R28" t="s" s="77">
        <v>53</v>
      </c>
      <c r="S28" t="s" s="28">
        <v>54</v>
      </c>
      <c r="T28" t="s" s="64">
        <v>54</v>
      </c>
    </row>
    <row r="29" ht="65.75" customHeight="1">
      <c r="A29" t="s" s="139">
        <v>238</v>
      </c>
      <c r="B29" t="s" s="140">
        <v>239</v>
      </c>
      <c r="C29" s="142"/>
      <c r="D29" s="142"/>
      <c r="E29" s="110">
        <v>6</v>
      </c>
      <c r="F29" t="s" s="28">
        <v>240</v>
      </c>
      <c r="G29" s="47" cm="1">
        <f t="array" ref="G29">$D29*(1.0278-0.0278*21)</f>
        <v>0</v>
      </c>
      <c r="H29" s="48" cm="1">
        <f t="array" ref="H29">$D29*(1.0278-0.0278*14)</f>
        <v>0</v>
      </c>
      <c r="I29" s="110">
        <v>6</v>
      </c>
      <c r="J29" t="s" s="28">
        <v>226</v>
      </c>
      <c r="K29" s="47" cm="1">
        <f t="array" ref="K29">$D29*(1.0278-0.0278*21)</f>
        <v>0</v>
      </c>
      <c r="L29" s="48" cm="1">
        <f t="array" ref="L29">$D29*(1.0278-0.0278*14)</f>
        <v>0</v>
      </c>
      <c r="M29" s="110">
        <v>6</v>
      </c>
      <c r="N29" t="s" s="28">
        <v>227</v>
      </c>
      <c r="O29" s="47" cm="1">
        <f t="array" ref="O29">$D29*(1.0278-0.0278*21)</f>
        <v>0</v>
      </c>
      <c r="P29" s="48" cm="1">
        <f t="array" ref="P29">$D29*(1.0278-0.0278*14)</f>
        <v>0</v>
      </c>
      <c r="Q29" s="110">
        <v>6</v>
      </c>
      <c r="R29" t="s" s="28">
        <v>226</v>
      </c>
      <c r="S29" s="47" cm="1">
        <f t="array" ref="S29">$D29*(1.0278-0.0278*21)</f>
        <v>0</v>
      </c>
      <c r="T29" s="48" cm="1">
        <f t="array" ref="T29">$D29*(1.0278-0.0278*14)</f>
        <v>0</v>
      </c>
    </row>
    <row r="30" ht="65.75" customHeight="1">
      <c r="A30" t="s" s="54">
        <v>194</v>
      </c>
      <c r="B30" s="18"/>
      <c r="C30" s="55"/>
      <c r="D30" s="55"/>
      <c r="E30" s="213"/>
      <c r="F30" t="s" s="28">
        <v>222</v>
      </c>
      <c r="G30" s="29"/>
      <c r="H30" s="30"/>
      <c r="I30" s="213"/>
      <c r="J30" s="29"/>
      <c r="K30" s="29"/>
      <c r="L30" s="30"/>
      <c r="M30" s="213"/>
      <c r="N30" s="29"/>
      <c r="O30" s="29"/>
      <c r="P30" s="30"/>
      <c r="Q30" s="213"/>
      <c r="R30" s="29"/>
      <c r="S30" s="29"/>
      <c r="T30" s="30"/>
    </row>
    <row r="31" ht="54.4" customHeight="1">
      <c r="A31" t="s" s="136">
        <v>241</v>
      </c>
      <c r="B31" t="s" s="56">
        <v>89</v>
      </c>
      <c r="C31" t="s" s="137">
        <v>48</v>
      </c>
      <c r="D31" s="138"/>
      <c r="E31" s="27">
        <v>6</v>
      </c>
      <c r="F31" t="s" s="28">
        <v>240</v>
      </c>
      <c r="G31" s="47" cm="1">
        <f t="array" ref="G31">$D31*(1.0278-0.0278*21)</f>
        <v>0</v>
      </c>
      <c r="H31" s="48" cm="1">
        <f t="array" ref="H31">$D31*(1.0278-0.0278*14)</f>
        <v>0</v>
      </c>
      <c r="I31" s="27">
        <v>6</v>
      </c>
      <c r="J31" t="s" s="28">
        <v>226</v>
      </c>
      <c r="K31" s="47" cm="1">
        <f t="array" ref="K31">$D31*(1.0278-0.0278*21)</f>
        <v>0</v>
      </c>
      <c r="L31" s="48" cm="1">
        <f t="array" ref="L31">$D31*(1.0278-0.0278*14)</f>
        <v>0</v>
      </c>
      <c r="M31" s="27">
        <v>6</v>
      </c>
      <c r="N31" t="s" s="28">
        <v>230</v>
      </c>
      <c r="O31" s="47" cm="1">
        <f t="array" ref="O31">$D31*(1.0278-0.0278*21)</f>
        <v>0</v>
      </c>
      <c r="P31" s="48" cm="1">
        <f t="array" ref="P31">$D31*(1.0278-0.0278*14)</f>
        <v>0</v>
      </c>
      <c r="Q31" s="27">
        <v>6</v>
      </c>
      <c r="R31" t="s" s="28">
        <v>226</v>
      </c>
      <c r="S31" s="47" cm="1">
        <f t="array" ref="S31">$D31*(1.0278-0.0278*21)</f>
        <v>0</v>
      </c>
      <c r="T31" s="48" cm="1">
        <f t="array" ref="T31">$D31*(1.0278-0.0278*14)</f>
        <v>0</v>
      </c>
    </row>
    <row r="32" ht="64.5" customHeight="1">
      <c r="A32" t="s" s="140">
        <v>196</v>
      </c>
      <c r="B32" t="s" s="140">
        <v>189</v>
      </c>
      <c r="C32" t="s" s="182">
        <v>48</v>
      </c>
      <c r="D32" s="183"/>
      <c r="E32" s="27">
        <v>6</v>
      </c>
      <c r="F32" t="s" s="28">
        <v>233</v>
      </c>
      <c r="G32" t="s" s="28">
        <v>234</v>
      </c>
      <c r="H32" t="s" s="64">
        <v>234</v>
      </c>
      <c r="I32" s="27">
        <v>6</v>
      </c>
      <c r="J32" t="s" s="28">
        <v>233</v>
      </c>
      <c r="K32" t="s" s="28">
        <v>234</v>
      </c>
      <c r="L32" t="s" s="64">
        <v>234</v>
      </c>
      <c r="M32" s="27">
        <v>6</v>
      </c>
      <c r="N32" t="s" s="28">
        <v>233</v>
      </c>
      <c r="O32" t="s" s="28">
        <v>234</v>
      </c>
      <c r="P32" t="s" s="64">
        <v>234</v>
      </c>
      <c r="Q32" s="27">
        <v>6</v>
      </c>
      <c r="R32" t="s" s="28">
        <v>233</v>
      </c>
      <c r="S32" t="s" s="28">
        <v>234</v>
      </c>
      <c r="T32" t="s" s="64">
        <v>234</v>
      </c>
    </row>
    <row r="33" ht="56.35" customHeight="1">
      <c r="A33" t="s" s="17">
        <v>14</v>
      </c>
      <c r="B33" t="s" s="17">
        <v>242</v>
      </c>
      <c r="C33" s="19"/>
      <c r="D33" s="19"/>
      <c r="E33" s="213"/>
      <c r="F33" t="s" s="28">
        <v>221</v>
      </c>
      <c r="G33" s="29"/>
      <c r="H33" s="30"/>
      <c r="I33" s="213"/>
      <c r="J33" s="29"/>
      <c r="K33" s="29"/>
      <c r="L33" s="30"/>
      <c r="M33" s="213"/>
      <c r="N33" s="29"/>
      <c r="O33" s="29"/>
      <c r="P33" s="30"/>
      <c r="Q33" s="213"/>
      <c r="R33" s="29"/>
      <c r="S33" s="29"/>
      <c r="T33" s="30"/>
    </row>
    <row r="34" ht="56.35" customHeight="1">
      <c r="A34" t="s" s="214">
        <v>243</v>
      </c>
      <c r="B34" s="215"/>
      <c r="C34" s="216"/>
      <c r="D34" s="216"/>
      <c r="E34" s="213"/>
      <c r="F34" s="29"/>
      <c r="G34" s="29"/>
      <c r="H34" s="30"/>
      <c r="I34" s="213"/>
      <c r="J34" s="29"/>
      <c r="K34" s="29"/>
      <c r="L34" s="30"/>
      <c r="M34" s="213"/>
      <c r="N34" s="29"/>
      <c r="O34" s="29"/>
      <c r="P34" s="30"/>
      <c r="Q34" s="213"/>
      <c r="R34" s="29"/>
      <c r="S34" s="29"/>
      <c r="T34" s="30"/>
    </row>
    <row r="35" ht="13.65" customHeight="1">
      <c r="A35" s="12"/>
      <c r="B35" s="12"/>
      <c r="C35" s="13"/>
      <c r="D35" s="13"/>
      <c r="E35" s="184"/>
      <c r="F35" s="83"/>
      <c r="G35" s="83"/>
      <c r="H35" s="84"/>
      <c r="I35" s="184"/>
      <c r="J35" s="83"/>
      <c r="K35" s="83"/>
      <c r="L35" s="84"/>
      <c r="M35" s="184"/>
      <c r="N35" s="83"/>
      <c r="O35" s="83"/>
      <c r="P35" s="84"/>
      <c r="Q35" s="184"/>
      <c r="R35" s="83"/>
      <c r="S35" s="83"/>
      <c r="T35" s="84"/>
    </row>
    <row r="36" ht="37.5" customHeight="1">
      <c r="A36" s="125"/>
      <c r="B36" s="125"/>
      <c r="C36" s="126"/>
      <c r="D36" s="127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</row>
    <row r="37" ht="37.5" customHeight="1">
      <c r="A37" t="s" s="7">
        <v>244</v>
      </c>
      <c r="B37" s="2"/>
      <c r="C37" s="2"/>
      <c r="D37" s="2"/>
      <c r="E37" s="91"/>
      <c r="F37" s="92"/>
      <c r="G37" s="93"/>
      <c r="H37" s="94"/>
      <c r="I37" s="91"/>
      <c r="J37" s="92"/>
      <c r="K37" s="93"/>
      <c r="L37" s="94"/>
      <c r="M37" s="91"/>
      <c r="N37" s="92"/>
      <c r="O37" s="93"/>
      <c r="P37" s="94"/>
      <c r="Q37" s="91"/>
      <c r="R37" s="92"/>
      <c r="S37" s="93"/>
      <c r="T37" s="94"/>
    </row>
    <row r="38" ht="37.5" customHeight="1">
      <c r="A38" t="s" s="17">
        <v>14</v>
      </c>
      <c r="B38" s="18"/>
      <c r="C38" s="19"/>
      <c r="D38" s="19"/>
      <c r="E38" s="205"/>
      <c r="F38" t="s" s="206">
        <v>221</v>
      </c>
      <c r="G38" s="86"/>
      <c r="H38" s="207"/>
      <c r="I38" s="205"/>
      <c r="J38" s="86"/>
      <c r="K38" s="86"/>
      <c r="L38" s="207"/>
      <c r="M38" s="205"/>
      <c r="N38" s="86"/>
      <c r="O38" s="86"/>
      <c r="P38" s="207"/>
      <c r="Q38" s="205"/>
      <c r="R38" s="86"/>
      <c r="S38" s="86"/>
      <c r="T38" s="207"/>
    </row>
    <row r="39" ht="37.5" customHeight="1">
      <c r="A39" t="s" s="214">
        <v>245</v>
      </c>
      <c r="B39" s="215"/>
      <c r="C39" s="216"/>
      <c r="D39" s="216"/>
      <c r="E39" s="213"/>
      <c r="F39" s="29"/>
      <c r="G39" s="29"/>
      <c r="H39" s="30"/>
      <c r="I39" s="213"/>
      <c r="J39" s="29"/>
      <c r="K39" s="29"/>
      <c r="L39" s="30"/>
      <c r="M39" s="213"/>
      <c r="N39" s="29"/>
      <c r="O39" s="29"/>
      <c r="P39" s="30"/>
      <c r="Q39" s="213"/>
      <c r="R39" s="29"/>
      <c r="S39" s="29"/>
      <c r="T39" s="30"/>
    </row>
    <row r="40" ht="98.5" customHeight="1">
      <c r="A40" t="s" s="17">
        <v>108</v>
      </c>
      <c r="B40" s="18"/>
      <c r="C40" s="19"/>
      <c r="D40" s="95"/>
      <c r="E40" s="213"/>
      <c r="F40" t="s" s="28">
        <v>246</v>
      </c>
      <c r="G40" s="29"/>
      <c r="H40" t="s" s="64">
        <v>32</v>
      </c>
      <c r="I40" s="213"/>
      <c r="J40" s="29"/>
      <c r="K40" s="29"/>
      <c r="L40" t="s" s="64">
        <v>32</v>
      </c>
      <c r="M40" s="213"/>
      <c r="N40" s="29"/>
      <c r="O40" s="29"/>
      <c r="P40" t="s" s="64">
        <v>32</v>
      </c>
      <c r="Q40" s="213"/>
      <c r="R40" s="29"/>
      <c r="S40" s="29"/>
      <c r="T40" t="s" s="64">
        <v>32</v>
      </c>
    </row>
    <row r="41" ht="101.45" customHeight="1">
      <c r="A41" t="s" s="136">
        <v>217</v>
      </c>
      <c r="B41" s="194"/>
      <c r="C41" t="s" s="137">
        <v>48</v>
      </c>
      <c r="D41" s="138"/>
      <c r="E41" s="27">
        <v>4</v>
      </c>
      <c r="F41" s="47">
        <v>8</v>
      </c>
      <c r="G41" t="s" s="28">
        <v>247</v>
      </c>
      <c r="H41" t="s" s="64">
        <v>248</v>
      </c>
      <c r="I41" s="27">
        <v>4</v>
      </c>
      <c r="J41" t="s" s="28">
        <v>138</v>
      </c>
      <c r="K41" t="s" s="28">
        <v>248</v>
      </c>
      <c r="L41" t="s" s="64">
        <v>248</v>
      </c>
      <c r="M41" s="27">
        <v>4</v>
      </c>
      <c r="N41" t="s" s="28">
        <v>112</v>
      </c>
      <c r="O41" t="s" s="28">
        <v>248</v>
      </c>
      <c r="P41" t="s" s="64">
        <v>248</v>
      </c>
      <c r="Q41" s="27">
        <v>4</v>
      </c>
      <c r="R41" t="s" s="28">
        <v>112</v>
      </c>
      <c r="S41" t="s" s="28">
        <v>248</v>
      </c>
      <c r="T41" t="s" s="64">
        <v>248</v>
      </c>
    </row>
    <row r="42" ht="81.3" customHeight="1">
      <c r="A42" t="s" s="221">
        <v>116</v>
      </c>
      <c r="B42" s="222"/>
      <c r="C42" t="s" s="223">
        <v>57</v>
      </c>
      <c r="D42" s="62"/>
      <c r="E42" s="71">
        <v>4</v>
      </c>
      <c r="F42" s="47">
        <v>8</v>
      </c>
      <c r="G42" t="s" s="28">
        <v>247</v>
      </c>
      <c r="H42" t="s" s="64">
        <v>249</v>
      </c>
      <c r="I42" s="71">
        <v>4</v>
      </c>
      <c r="J42" t="s" s="28">
        <v>138</v>
      </c>
      <c r="K42" t="s" s="28">
        <v>248</v>
      </c>
      <c r="L42" t="s" s="64">
        <v>249</v>
      </c>
      <c r="M42" s="71">
        <v>4</v>
      </c>
      <c r="N42" t="s" s="28">
        <v>112</v>
      </c>
      <c r="O42" t="s" s="28">
        <v>248</v>
      </c>
      <c r="P42" t="s" s="64">
        <v>249</v>
      </c>
      <c r="Q42" s="71">
        <v>4</v>
      </c>
      <c r="R42" t="s" s="28">
        <v>112</v>
      </c>
      <c r="S42" t="s" s="28">
        <v>248</v>
      </c>
      <c r="T42" t="s" s="64">
        <v>249</v>
      </c>
    </row>
    <row r="43" ht="72.4" customHeight="1">
      <c r="A43" t="s" s="224">
        <v>159</v>
      </c>
      <c r="B43" t="s" s="225">
        <v>96</v>
      </c>
      <c r="C43" s="226"/>
      <c r="D43" s="142"/>
      <c r="E43" s="76">
        <v>4</v>
      </c>
      <c r="F43" t="s" s="77">
        <v>64</v>
      </c>
      <c r="G43" s="29"/>
      <c r="H43" s="30"/>
      <c r="I43" s="76">
        <v>4</v>
      </c>
      <c r="J43" t="s" s="77">
        <v>64</v>
      </c>
      <c r="K43" s="29"/>
      <c r="L43" s="30"/>
      <c r="M43" s="76">
        <v>4</v>
      </c>
      <c r="N43" t="s" s="77">
        <v>64</v>
      </c>
      <c r="O43" s="29"/>
      <c r="P43" s="30"/>
      <c r="Q43" s="76">
        <v>4</v>
      </c>
      <c r="R43" t="s" s="77">
        <v>64</v>
      </c>
      <c r="S43" s="29"/>
      <c r="T43" s="30"/>
    </row>
    <row r="44" ht="18.9" customHeight="1">
      <c r="A44" s="12"/>
      <c r="B44" s="12"/>
      <c r="C44" s="13"/>
      <c r="D44" s="13"/>
      <c r="E44" s="82"/>
      <c r="F44" s="83"/>
      <c r="G44" s="83"/>
      <c r="H44" s="84"/>
      <c r="I44" s="82"/>
      <c r="J44" s="83"/>
      <c r="K44" s="83"/>
      <c r="L44" s="84"/>
      <c r="M44" s="82"/>
      <c r="N44" s="83"/>
      <c r="O44" s="83"/>
      <c r="P44" s="84"/>
      <c r="Q44" s="82"/>
      <c r="R44" s="83"/>
      <c r="S44" s="83"/>
      <c r="T44" s="84"/>
    </row>
    <row r="45" ht="37.5" customHeight="1">
      <c r="A45" s="145"/>
      <c r="B45" s="145"/>
      <c r="C45" s="146"/>
      <c r="D45" s="147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</row>
    <row r="46" ht="15.75" customHeight="1">
      <c r="A46" s="149"/>
      <c r="B46" s="149"/>
      <c r="C46" s="150"/>
      <c r="D46" s="151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</row>
    <row r="47" ht="15.75" customHeight="1">
      <c r="A47" s="149"/>
      <c r="B47" s="149"/>
      <c r="C47" s="150"/>
      <c r="D47" s="151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</row>
    <row r="48" ht="15.75" customHeight="1">
      <c r="A48" s="149"/>
      <c r="B48" s="149"/>
      <c r="C48" s="150"/>
      <c r="D48" s="151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</row>
    <row r="49" ht="15.75" customHeight="1">
      <c r="A49" s="149"/>
      <c r="B49" s="149"/>
      <c r="C49" s="150"/>
      <c r="D49" s="151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</row>
    <row r="50" ht="15.75" customHeight="1">
      <c r="A50" s="149"/>
      <c r="B50" s="149"/>
      <c r="C50" s="150"/>
      <c r="D50" s="151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ht="15.75" customHeight="1">
      <c r="A51" s="149"/>
      <c r="B51" s="149"/>
      <c r="C51" s="150"/>
      <c r="D51" s="151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ht="15.75" customHeight="1">
      <c r="A52" s="149"/>
      <c r="B52" s="149"/>
      <c r="C52" s="150"/>
      <c r="D52" s="151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ht="15.75" customHeight="1">
      <c r="A53" s="149"/>
      <c r="B53" s="149"/>
      <c r="C53" s="150"/>
      <c r="D53" s="151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ht="15.75" customHeight="1">
      <c r="A54" s="149"/>
      <c r="B54" s="149"/>
      <c r="C54" s="150"/>
      <c r="D54" s="151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ht="15.75" customHeight="1">
      <c r="A55" s="149"/>
      <c r="B55" s="149"/>
      <c r="C55" s="150"/>
      <c r="D55" s="151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ht="15.75" customHeight="1">
      <c r="A56" s="149"/>
      <c r="B56" s="149"/>
      <c r="C56" s="150"/>
      <c r="D56" s="151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ht="15.75" customHeight="1">
      <c r="A57" s="149"/>
      <c r="B57" s="149"/>
      <c r="C57" s="150"/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ht="15.75" customHeight="1">
      <c r="A58" s="149"/>
      <c r="B58" s="149"/>
      <c r="C58" s="150"/>
      <c r="D58" s="151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ht="15.75" customHeight="1">
      <c r="A59" s="149"/>
      <c r="B59" s="149"/>
      <c r="C59" s="150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ht="15.75" customHeight="1">
      <c r="A60" s="149"/>
      <c r="B60" s="149"/>
      <c r="C60" s="150"/>
      <c r="D60" s="151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</row>
    <row r="761" ht="15.75" customHeight="1">
      <c r="A761" s="149"/>
      <c r="B761" s="149"/>
      <c r="C761" s="150"/>
      <c r="D761" s="151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</row>
    <row r="762" ht="15.75" customHeight="1">
      <c r="A762" s="149"/>
      <c r="B762" s="149"/>
      <c r="C762" s="150"/>
      <c r="D762" s="151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</row>
    <row r="763" ht="15.75" customHeight="1">
      <c r="A763" s="149"/>
      <c r="B763" s="149"/>
      <c r="C763" s="150"/>
      <c r="D763" s="151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</row>
    <row r="764" ht="15.75" customHeight="1">
      <c r="A764" s="149"/>
      <c r="B764" s="149"/>
      <c r="C764" s="150"/>
      <c r="D764" s="151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</row>
    <row r="765" ht="15.75" customHeight="1">
      <c r="A765" s="153"/>
      <c r="B765" s="153"/>
      <c r="C765" s="154"/>
      <c r="D765" s="155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</row>
  </sheetData>
  <mergeCells count="12">
    <mergeCell ref="E20:H20"/>
    <mergeCell ref="E37:H37"/>
    <mergeCell ref="E1:H1"/>
    <mergeCell ref="I20:L20"/>
    <mergeCell ref="I37:L37"/>
    <mergeCell ref="I1:L1"/>
    <mergeCell ref="M20:P20"/>
    <mergeCell ref="M37:P37"/>
    <mergeCell ref="M1:P1"/>
    <mergeCell ref="Q20:T20"/>
    <mergeCell ref="Q37:T37"/>
    <mergeCell ref="Q1:T1"/>
  </mergeCells>
  <hyperlinks>
    <hyperlink ref="C5" r:id="rId1" location="" tooltip="" display="Video"/>
    <hyperlink ref="C6" r:id="rId2" location="" tooltip="" display="video"/>
    <hyperlink ref="C7" r:id="rId3" location="" tooltip="" display="Video "/>
    <hyperlink ref="C8" r:id="rId4" location="" tooltip="" display="Video "/>
    <hyperlink ref="C10" r:id="rId5" location="" tooltip="" display="Video "/>
    <hyperlink ref="C11" r:id="rId6" location="" tooltip="" display="Video "/>
    <hyperlink ref="C14" r:id="rId7" location="" tooltip="" display="Video "/>
    <hyperlink ref="C22" r:id="rId8" location="" tooltip="" display="Video"/>
    <hyperlink ref="C23" r:id="rId9" location="" tooltip="" display="video"/>
    <hyperlink ref="C24" r:id="rId10" location="" tooltip="" display="Video "/>
    <hyperlink ref="C25" r:id="rId11" location="" tooltip="" display="External Rotation "/>
    <hyperlink ref="C26" r:id="rId12" location="" tooltip="" display="Video "/>
    <hyperlink ref="C31" r:id="rId13" location="" tooltip="" display="Video "/>
    <hyperlink ref="C32" r:id="rId14" location="" tooltip="" display="Video "/>
    <hyperlink ref="C41" r:id="rId15" location="" tooltip="" display="Video "/>
    <hyperlink ref="C42" r:id="rId16" location="" tooltip="" display="GIF 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769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227" customWidth="1"/>
    <col min="2" max="2" width="21.8516" style="227" customWidth="1"/>
    <col min="3" max="4" width="12.6719" style="227" customWidth="1"/>
    <col min="5" max="5" width="13.3125" style="227" customWidth="1"/>
    <col min="6" max="6" width="18.1797" style="227" customWidth="1"/>
    <col min="7" max="8" width="14.7031" style="227" customWidth="1"/>
    <col min="9" max="9" width="19.9141" style="227" customWidth="1"/>
    <col min="10" max="10" width="16.0625" style="227" customWidth="1"/>
    <col min="11" max="11" width="16.4531" style="227" customWidth="1"/>
    <col min="12" max="12" width="16.3281" style="227" customWidth="1"/>
    <col min="13" max="13" width="22.3516" style="227" customWidth="1"/>
    <col min="14" max="14" width="20.8516" style="227" customWidth="1"/>
    <col min="15" max="15" width="21.3516" style="227" customWidth="1"/>
    <col min="16" max="16" width="20" style="227" customWidth="1"/>
    <col min="17" max="20" width="17.1719" style="227" customWidth="1"/>
    <col min="21" max="16384" width="12.6719" style="227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</row>
    <row r="2" ht="19.5" customHeight="1">
      <c r="A2" t="s" s="7">
        <v>5</v>
      </c>
      <c r="B2" t="s" s="8">
        <v>6</v>
      </c>
      <c r="C2" t="s" s="8">
        <v>7</v>
      </c>
      <c r="D2" s="3"/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</row>
    <row r="3" ht="19.5" customHeight="1">
      <c r="A3" t="s" s="11">
        <v>13</v>
      </c>
      <c r="B3" s="12"/>
      <c r="C3" s="13"/>
      <c r="D3" s="13"/>
      <c r="E3" s="14"/>
      <c r="F3" s="15"/>
      <c r="G3" s="15"/>
      <c r="H3" s="16"/>
      <c r="I3" s="14"/>
      <c r="J3" s="15"/>
      <c r="K3" s="15"/>
      <c r="L3" s="16"/>
      <c r="M3" s="14"/>
      <c r="N3" s="15"/>
      <c r="O3" s="15"/>
      <c r="P3" s="16"/>
      <c r="Q3" s="14"/>
      <c r="R3" s="15"/>
      <c r="S3" s="15"/>
      <c r="T3" s="16"/>
    </row>
    <row r="4" ht="19.5" customHeight="1">
      <c r="A4" t="s" s="17">
        <v>14</v>
      </c>
      <c r="B4" s="18"/>
      <c r="C4" s="19"/>
      <c r="D4" s="19"/>
      <c r="E4" s="205"/>
      <c r="F4" t="s" s="206">
        <v>221</v>
      </c>
      <c r="G4" s="86"/>
      <c r="H4" s="207"/>
      <c r="I4" s="205"/>
      <c r="J4" s="86"/>
      <c r="K4" s="86"/>
      <c r="L4" s="207"/>
      <c r="M4" s="205"/>
      <c r="N4" s="86"/>
      <c r="O4" s="86"/>
      <c r="P4" s="207"/>
      <c r="Q4" s="205"/>
      <c r="R4" s="86"/>
      <c r="S4" s="86"/>
      <c r="T4" s="207"/>
    </row>
    <row r="5" ht="67.45" customHeight="1">
      <c r="A5" t="s" s="24">
        <v>16</v>
      </c>
      <c r="B5" t="s" s="24">
        <v>17</v>
      </c>
      <c r="C5" t="s" s="25">
        <v>18</v>
      </c>
      <c r="D5" s="26"/>
      <c r="E5" s="27">
        <v>1</v>
      </c>
      <c r="F5" t="s" s="28">
        <v>19</v>
      </c>
      <c r="G5" s="29"/>
      <c r="H5" s="30"/>
      <c r="I5" s="27">
        <v>1</v>
      </c>
      <c r="J5" t="s" s="28">
        <v>19</v>
      </c>
      <c r="K5" s="29"/>
      <c r="L5" s="30"/>
      <c r="M5" s="27">
        <v>1</v>
      </c>
      <c r="N5" t="s" s="28">
        <v>19</v>
      </c>
      <c r="O5" s="29"/>
      <c r="P5" s="30"/>
      <c r="Q5" s="27">
        <v>1</v>
      </c>
      <c r="R5" t="s" s="28">
        <v>19</v>
      </c>
      <c r="S5" s="29"/>
      <c r="T5" s="30"/>
    </row>
    <row r="6" ht="67.45" customHeight="1">
      <c r="A6" t="s" s="31">
        <v>20</v>
      </c>
      <c r="B6" t="s" s="31">
        <v>17</v>
      </c>
      <c r="C6" t="s" s="32">
        <v>21</v>
      </c>
      <c r="D6" s="33"/>
      <c r="E6" s="27">
        <v>1</v>
      </c>
      <c r="F6" t="s" s="28">
        <v>19</v>
      </c>
      <c r="G6" s="29"/>
      <c r="H6" s="30"/>
      <c r="I6" s="27">
        <v>1</v>
      </c>
      <c r="J6" t="s" s="28">
        <v>19</v>
      </c>
      <c r="K6" s="29"/>
      <c r="L6" s="30"/>
      <c r="M6" s="27">
        <v>1</v>
      </c>
      <c r="N6" t="s" s="28">
        <v>19</v>
      </c>
      <c r="O6" s="29"/>
      <c r="P6" s="30"/>
      <c r="Q6" s="27">
        <v>1</v>
      </c>
      <c r="R6" t="s" s="28">
        <v>19</v>
      </c>
      <c r="S6" s="29"/>
      <c r="T6" s="30"/>
    </row>
    <row r="7" ht="67.45" customHeight="1">
      <c r="A7" t="s" s="36">
        <v>250</v>
      </c>
      <c r="B7" s="228"/>
      <c r="C7" s="134"/>
      <c r="D7" s="134"/>
      <c r="E7" s="27">
        <v>1</v>
      </c>
      <c r="F7" t="s" s="28">
        <v>105</v>
      </c>
      <c r="G7" s="29"/>
      <c r="H7" s="30"/>
      <c r="I7" s="213"/>
      <c r="J7" s="29"/>
      <c r="K7" s="29"/>
      <c r="L7" s="30"/>
      <c r="M7" s="213"/>
      <c r="N7" s="29"/>
      <c r="O7" s="29"/>
      <c r="P7" s="30"/>
      <c r="Q7" s="213"/>
      <c r="R7" s="29"/>
      <c r="S7" s="29"/>
      <c r="T7" s="30"/>
    </row>
    <row r="8" ht="206.6" customHeight="1">
      <c r="A8" t="s" s="54">
        <v>251</v>
      </c>
      <c r="B8" s="18"/>
      <c r="C8" s="55"/>
      <c r="D8" s="55"/>
      <c r="E8" s="213"/>
      <c r="F8" t="s" s="28">
        <v>222</v>
      </c>
      <c r="G8" s="29"/>
      <c r="H8" s="30"/>
      <c r="I8" s="213"/>
      <c r="J8" s="29"/>
      <c r="K8" s="29"/>
      <c r="L8" s="30"/>
      <c r="M8" s="213"/>
      <c r="N8" s="29"/>
      <c r="O8" s="29"/>
      <c r="P8" s="30"/>
      <c r="Q8" s="213"/>
      <c r="R8" s="29"/>
      <c r="S8" s="29"/>
      <c r="T8" s="30"/>
    </row>
    <row r="9" ht="97.85" customHeight="1">
      <c r="A9" t="s" s="136">
        <v>51</v>
      </c>
      <c r="B9" t="s" s="56">
        <v>52</v>
      </c>
      <c r="C9" t="s" s="137">
        <v>48</v>
      </c>
      <c r="D9" s="138"/>
      <c r="E9" s="27">
        <v>1</v>
      </c>
      <c r="F9" t="s" s="28">
        <v>53</v>
      </c>
      <c r="G9" t="s" s="28">
        <v>252</v>
      </c>
      <c r="H9" t="s" s="64">
        <v>253</v>
      </c>
      <c r="I9" s="27">
        <v>1</v>
      </c>
      <c r="J9" t="s" s="28">
        <v>53</v>
      </c>
      <c r="K9" t="s" s="28">
        <v>252</v>
      </c>
      <c r="L9" t="s" s="64">
        <v>253</v>
      </c>
      <c r="M9" s="27">
        <v>1</v>
      </c>
      <c r="N9" t="s" s="28">
        <v>53</v>
      </c>
      <c r="O9" t="s" s="28">
        <v>252</v>
      </c>
      <c r="P9" t="s" s="64">
        <v>253</v>
      </c>
      <c r="Q9" s="27">
        <v>1</v>
      </c>
      <c r="R9" t="s" s="28">
        <v>53</v>
      </c>
      <c r="S9" t="s" s="28">
        <v>252</v>
      </c>
      <c r="T9" t="s" s="64">
        <v>253</v>
      </c>
    </row>
    <row r="10" ht="97.85" customHeight="1">
      <c r="A10" t="s" s="59">
        <v>223</v>
      </c>
      <c r="B10" t="s" s="66">
        <v>254</v>
      </c>
      <c r="C10" t="s" s="61">
        <v>48</v>
      </c>
      <c r="D10" s="62"/>
      <c r="E10" s="27">
        <v>2</v>
      </c>
      <c r="F10" t="s" s="28">
        <v>255</v>
      </c>
      <c r="G10" s="29"/>
      <c r="H10" s="30"/>
      <c r="I10" s="27">
        <v>2</v>
      </c>
      <c r="J10" t="s" s="28">
        <v>255</v>
      </c>
      <c r="K10" s="29"/>
      <c r="L10" s="30"/>
      <c r="M10" s="27">
        <v>2</v>
      </c>
      <c r="N10" t="s" s="28">
        <v>256</v>
      </c>
      <c r="O10" s="29"/>
      <c r="P10" s="30"/>
      <c r="Q10" s="27">
        <v>2</v>
      </c>
      <c r="R10" t="s" s="28">
        <v>257</v>
      </c>
      <c r="S10" s="29"/>
      <c r="T10" s="30"/>
    </row>
    <row r="11" ht="72.4" customHeight="1">
      <c r="A11" t="s" s="139">
        <v>258</v>
      </c>
      <c r="B11" t="s" s="140">
        <v>254</v>
      </c>
      <c r="C11" s="142"/>
      <c r="D11" s="142"/>
      <c r="E11" s="27">
        <v>4</v>
      </c>
      <c r="F11" t="s" s="28">
        <v>259</v>
      </c>
      <c r="G11" s="29"/>
      <c r="H11" s="30"/>
      <c r="I11" s="27">
        <v>6</v>
      </c>
      <c r="J11" t="s" s="28">
        <v>260</v>
      </c>
      <c r="K11" s="29"/>
      <c r="L11" s="30"/>
      <c r="M11" s="27">
        <v>6</v>
      </c>
      <c r="N11" t="s" s="28">
        <v>261</v>
      </c>
      <c r="O11" s="29"/>
      <c r="P11" s="30"/>
      <c r="Q11" s="27">
        <v>6</v>
      </c>
      <c r="R11" t="s" s="28">
        <v>261</v>
      </c>
      <c r="S11" s="29"/>
      <c r="T11" s="30"/>
    </row>
    <row r="12" ht="51.6" customHeight="1">
      <c r="A12" t="s" s="54">
        <v>262</v>
      </c>
      <c r="B12" s="18"/>
      <c r="C12" s="55"/>
      <c r="D12" s="55"/>
      <c r="E12" s="213"/>
      <c r="F12" t="s" s="28">
        <v>222</v>
      </c>
      <c r="G12" s="29"/>
      <c r="H12" s="30"/>
      <c r="I12" s="213"/>
      <c r="J12" s="29"/>
      <c r="K12" s="29"/>
      <c r="L12" s="30"/>
      <c r="M12" s="213"/>
      <c r="N12" s="29"/>
      <c r="O12" s="29"/>
      <c r="P12" s="30"/>
      <c r="Q12" s="213"/>
      <c r="R12" s="29"/>
      <c r="S12" s="29"/>
      <c r="T12" s="30"/>
    </row>
    <row r="13" ht="62.05" customHeight="1">
      <c r="A13" t="s" s="136">
        <v>228</v>
      </c>
      <c r="B13" t="s" s="56">
        <v>229</v>
      </c>
      <c r="C13" s="138"/>
      <c r="D13" s="138"/>
      <c r="E13" s="27">
        <v>5</v>
      </c>
      <c r="F13" t="s" s="28">
        <v>227</v>
      </c>
      <c r="G13" s="29"/>
      <c r="H13" s="30"/>
      <c r="I13" s="27">
        <v>5</v>
      </c>
      <c r="J13" t="s" s="28">
        <v>263</v>
      </c>
      <c r="K13" s="29"/>
      <c r="L13" s="30"/>
      <c r="M13" s="27">
        <v>6</v>
      </c>
      <c r="N13" t="s" s="28">
        <v>263</v>
      </c>
      <c r="O13" s="29"/>
      <c r="P13" s="30"/>
      <c r="Q13" s="27">
        <v>6</v>
      </c>
      <c r="R13" t="s" s="28">
        <v>263</v>
      </c>
      <c r="S13" s="29"/>
      <c r="T13" s="30"/>
    </row>
    <row r="14" ht="36.4" customHeight="1">
      <c r="A14" t="s" s="140">
        <v>231</v>
      </c>
      <c r="B14" t="s" s="140">
        <v>264</v>
      </c>
      <c r="C14" t="s" s="182">
        <v>48</v>
      </c>
      <c r="D14" s="183"/>
      <c r="E14" s="27">
        <v>5</v>
      </c>
      <c r="F14" t="s" s="28">
        <v>265</v>
      </c>
      <c r="G14" s="29"/>
      <c r="H14" s="30"/>
      <c r="I14" s="27">
        <v>5</v>
      </c>
      <c r="J14" t="s" s="28">
        <v>265</v>
      </c>
      <c r="K14" s="29"/>
      <c r="L14" s="30"/>
      <c r="M14" s="27">
        <v>6</v>
      </c>
      <c r="N14" t="s" s="28">
        <v>265</v>
      </c>
      <c r="O14" s="29"/>
      <c r="P14" s="30"/>
      <c r="Q14" s="27">
        <v>6</v>
      </c>
      <c r="R14" t="s" s="28">
        <v>265</v>
      </c>
      <c r="S14" s="29"/>
      <c r="T14" s="30"/>
    </row>
    <row r="15" ht="50.4" customHeight="1">
      <c r="A15" t="s" s="54">
        <v>266</v>
      </c>
      <c r="B15" s="218"/>
      <c r="C15" s="55"/>
      <c r="D15" s="95"/>
      <c r="E15" s="213"/>
      <c r="F15" t="s" s="28">
        <v>222</v>
      </c>
      <c r="G15" s="29"/>
      <c r="H15" s="30"/>
      <c r="I15" s="213"/>
      <c r="J15" s="29"/>
      <c r="K15" s="29"/>
      <c r="L15" s="30"/>
      <c r="M15" s="213"/>
      <c r="N15" s="29"/>
      <c r="O15" s="29"/>
      <c r="P15" s="30"/>
      <c r="Q15" s="213"/>
      <c r="R15" s="29"/>
      <c r="S15" s="29"/>
      <c r="T15" s="30"/>
    </row>
    <row r="16" ht="54.1" customHeight="1">
      <c r="A16" t="s" s="229">
        <v>267</v>
      </c>
      <c r="B16" s="230"/>
      <c r="C16" t="s" s="231">
        <v>18</v>
      </c>
      <c r="D16" s="232"/>
      <c r="E16" s="27">
        <v>2</v>
      </c>
      <c r="F16" t="s" s="28">
        <v>268</v>
      </c>
      <c r="G16" s="29"/>
      <c r="H16" s="30"/>
      <c r="I16" s="27">
        <v>2</v>
      </c>
      <c r="J16" t="s" s="28">
        <v>268</v>
      </c>
      <c r="K16" s="29"/>
      <c r="L16" s="30"/>
      <c r="M16" s="27">
        <v>3</v>
      </c>
      <c r="N16" t="s" s="28">
        <v>269</v>
      </c>
      <c r="O16" s="29"/>
      <c r="P16" s="30"/>
      <c r="Q16" s="27">
        <v>2</v>
      </c>
      <c r="R16" t="s" s="28">
        <v>268</v>
      </c>
      <c r="S16" s="29"/>
      <c r="T16" s="30"/>
    </row>
    <row r="17" ht="54.1" customHeight="1">
      <c r="A17" t="s" s="233">
        <v>270</v>
      </c>
      <c r="B17" s="234"/>
      <c r="C17" t="s" s="235">
        <v>48</v>
      </c>
      <c r="D17" s="236"/>
      <c r="E17" s="27">
        <v>2</v>
      </c>
      <c r="F17" t="s" s="28">
        <v>271</v>
      </c>
      <c r="G17" s="29"/>
      <c r="H17" s="30"/>
      <c r="I17" s="27">
        <v>2</v>
      </c>
      <c r="J17" t="s" s="28">
        <v>271</v>
      </c>
      <c r="K17" s="29"/>
      <c r="L17" s="30"/>
      <c r="M17" s="27">
        <v>3</v>
      </c>
      <c r="N17" t="s" s="28">
        <v>272</v>
      </c>
      <c r="O17" s="29"/>
      <c r="P17" s="30"/>
      <c r="Q17" s="27">
        <v>2</v>
      </c>
      <c r="R17" t="s" s="28">
        <v>271</v>
      </c>
      <c r="S17" s="29"/>
      <c r="T17" s="30"/>
    </row>
    <row r="18" ht="62.05" customHeight="1">
      <c r="A18" t="s" s="17">
        <v>14</v>
      </c>
      <c r="B18" s="18"/>
      <c r="C18" s="19"/>
      <c r="D18" s="19"/>
      <c r="E18" s="213"/>
      <c r="F18" t="s" s="28">
        <v>221</v>
      </c>
      <c r="G18" s="29"/>
      <c r="H18" s="30"/>
      <c r="I18" s="213"/>
      <c r="J18" s="29"/>
      <c r="K18" s="29"/>
      <c r="L18" s="30"/>
      <c r="M18" s="213"/>
      <c r="N18" s="29"/>
      <c r="O18" s="29"/>
      <c r="P18" s="30"/>
      <c r="Q18" s="213"/>
      <c r="R18" s="29"/>
      <c r="S18" s="29"/>
      <c r="T18" s="30"/>
    </row>
    <row r="19" ht="62.05" customHeight="1">
      <c r="A19" t="s" s="214">
        <v>273</v>
      </c>
      <c r="B19" s="215"/>
      <c r="C19" s="216"/>
      <c r="D19" s="216"/>
      <c r="E19" s="213"/>
      <c r="F19" s="29"/>
      <c r="G19" s="29"/>
      <c r="H19" s="30"/>
      <c r="I19" s="213"/>
      <c r="J19" s="29"/>
      <c r="K19" s="29"/>
      <c r="L19" s="30"/>
      <c r="M19" s="213"/>
      <c r="N19" s="29"/>
      <c r="O19" s="29"/>
      <c r="P19" s="30"/>
      <c r="Q19" s="213"/>
      <c r="R19" s="29"/>
      <c r="S19" s="29"/>
      <c r="T19" s="30"/>
    </row>
    <row r="20" ht="10" customHeight="1">
      <c r="A20" s="12"/>
      <c r="B20" s="12"/>
      <c r="C20" s="13"/>
      <c r="D20" s="13"/>
      <c r="E20" s="184"/>
      <c r="F20" s="83"/>
      <c r="G20" s="83"/>
      <c r="H20" s="84"/>
      <c r="I20" s="184"/>
      <c r="J20" s="83"/>
      <c r="K20" s="83"/>
      <c r="L20" s="84"/>
      <c r="M20" s="184"/>
      <c r="N20" s="83"/>
      <c r="O20" s="83"/>
      <c r="P20" s="84"/>
      <c r="Q20" s="184"/>
      <c r="R20" s="83"/>
      <c r="S20" s="83"/>
      <c r="T20" s="84"/>
    </row>
    <row r="21" ht="39" customHeight="1">
      <c r="A21" s="85"/>
      <c r="B21" s="22"/>
      <c r="C21" s="23"/>
      <c r="D21" s="20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</row>
    <row r="22" ht="19.5" customHeight="1">
      <c r="A22" s="87"/>
      <c r="B22" s="88"/>
      <c r="C22" s="89"/>
      <c r="D22" s="9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</row>
    <row r="23" ht="26" customHeight="1">
      <c r="A23" t="s" s="7">
        <v>68</v>
      </c>
      <c r="B23" s="2"/>
      <c r="C23" s="2"/>
      <c r="D23" s="2"/>
      <c r="E23" s="91"/>
      <c r="F23" s="92"/>
      <c r="G23" s="93"/>
      <c r="H23" s="94"/>
      <c r="I23" s="91"/>
      <c r="J23" s="92"/>
      <c r="K23" s="93"/>
      <c r="L23" s="94"/>
      <c r="M23" s="91"/>
      <c r="N23" s="92"/>
      <c r="O23" s="93"/>
      <c r="P23" s="94"/>
      <c r="Q23" s="91"/>
      <c r="R23" s="92"/>
      <c r="S23" s="93"/>
      <c r="T23" s="94"/>
    </row>
    <row r="24" ht="68.35" customHeight="1">
      <c r="A24" t="s" s="17">
        <v>14</v>
      </c>
      <c r="B24" s="18"/>
      <c r="C24" s="19"/>
      <c r="D24" s="19"/>
      <c r="E24" s="205"/>
      <c r="F24" t="s" s="206">
        <v>221</v>
      </c>
      <c r="G24" s="86"/>
      <c r="H24" s="207"/>
      <c r="I24" s="205"/>
      <c r="J24" s="86"/>
      <c r="K24" s="86"/>
      <c r="L24" s="207"/>
      <c r="M24" s="205"/>
      <c r="N24" s="86"/>
      <c r="O24" s="86"/>
      <c r="P24" s="207"/>
      <c r="Q24" s="205"/>
      <c r="R24" s="86"/>
      <c r="S24" s="86"/>
      <c r="T24" s="207"/>
    </row>
    <row r="25" ht="82.7" customHeight="1">
      <c r="A25" t="s" s="24">
        <v>16</v>
      </c>
      <c r="B25" t="s" s="24">
        <v>17</v>
      </c>
      <c r="C25" t="s" s="25">
        <v>18</v>
      </c>
      <c r="D25" s="26"/>
      <c r="E25" s="27">
        <v>1</v>
      </c>
      <c r="F25" t="s" s="28">
        <v>19</v>
      </c>
      <c r="G25" s="29"/>
      <c r="H25" s="30"/>
      <c r="I25" s="27">
        <v>1</v>
      </c>
      <c r="J25" t="s" s="28">
        <v>19</v>
      </c>
      <c r="K25" s="29"/>
      <c r="L25" s="30"/>
      <c r="M25" s="27">
        <v>1</v>
      </c>
      <c r="N25" t="s" s="28">
        <v>19</v>
      </c>
      <c r="O25" s="29"/>
      <c r="P25" s="30"/>
      <c r="Q25" s="27">
        <v>1</v>
      </c>
      <c r="R25" t="s" s="28">
        <v>19</v>
      </c>
      <c r="S25" s="29"/>
      <c r="T25" s="30"/>
    </row>
    <row r="26" ht="82.7" customHeight="1">
      <c r="A26" t="s" s="31">
        <v>20</v>
      </c>
      <c r="B26" t="s" s="31">
        <v>17</v>
      </c>
      <c r="C26" t="s" s="32">
        <v>21</v>
      </c>
      <c r="D26" s="33"/>
      <c r="E26" s="27">
        <v>1</v>
      </c>
      <c r="F26" t="s" s="28">
        <v>19</v>
      </c>
      <c r="G26" s="29"/>
      <c r="H26" s="30"/>
      <c r="I26" s="27">
        <v>1</v>
      </c>
      <c r="J26" t="s" s="28">
        <v>19</v>
      </c>
      <c r="K26" s="29"/>
      <c r="L26" s="30"/>
      <c r="M26" s="27">
        <v>1</v>
      </c>
      <c r="N26" t="s" s="28">
        <v>19</v>
      </c>
      <c r="O26" s="29"/>
      <c r="P26" s="30"/>
      <c r="Q26" s="27">
        <v>1</v>
      </c>
      <c r="R26" t="s" s="28">
        <v>19</v>
      </c>
      <c r="S26" s="29"/>
      <c r="T26" s="30"/>
    </row>
    <row r="27" ht="71.25" customHeight="1">
      <c r="A27" t="s" s="208">
        <v>167</v>
      </c>
      <c r="B27" s="209"/>
      <c r="C27" t="s" s="32">
        <v>48</v>
      </c>
      <c r="D27" s="33"/>
      <c r="E27" s="27">
        <v>1</v>
      </c>
      <c r="F27" t="s" s="28">
        <v>168</v>
      </c>
      <c r="G27" s="29"/>
      <c r="H27" s="30"/>
      <c r="I27" s="27">
        <v>1</v>
      </c>
      <c r="J27" t="s" s="28">
        <v>168</v>
      </c>
      <c r="K27" s="29"/>
      <c r="L27" s="30"/>
      <c r="M27" s="27">
        <v>1</v>
      </c>
      <c r="N27" t="s" s="28">
        <v>168</v>
      </c>
      <c r="O27" t="s" s="28">
        <v>169</v>
      </c>
      <c r="P27" t="s" s="64">
        <v>169</v>
      </c>
      <c r="Q27" s="27">
        <v>1</v>
      </c>
      <c r="R27" t="s" s="28">
        <v>168</v>
      </c>
      <c r="S27" t="s" s="28">
        <v>169</v>
      </c>
      <c r="T27" t="s" s="64">
        <v>169</v>
      </c>
    </row>
    <row r="28" ht="171.35" customHeight="1">
      <c r="A28" t="s" s="210">
        <v>251</v>
      </c>
      <c r="B28" s="237"/>
      <c r="C28" s="212"/>
      <c r="D28" s="238"/>
      <c r="E28" s="213"/>
      <c r="F28" t="s" s="28">
        <v>222</v>
      </c>
      <c r="G28" s="29"/>
      <c r="H28" s="30"/>
      <c r="I28" s="213"/>
      <c r="J28" s="29"/>
      <c r="K28" s="29"/>
      <c r="L28" s="30"/>
      <c r="M28" s="213"/>
      <c r="N28" s="29"/>
      <c r="O28" s="29"/>
      <c r="P28" s="30"/>
      <c r="Q28" s="213"/>
      <c r="R28" s="29"/>
      <c r="S28" s="29"/>
      <c r="T28" s="30"/>
    </row>
    <row r="29" ht="65.75" customHeight="1">
      <c r="A29" t="s" s="136">
        <v>238</v>
      </c>
      <c r="B29" s="194"/>
      <c r="C29" s="138"/>
      <c r="D29" s="138"/>
      <c r="E29" s="27">
        <v>2</v>
      </c>
      <c r="F29" t="s" s="28">
        <v>255</v>
      </c>
      <c r="G29" s="29"/>
      <c r="H29" s="30"/>
      <c r="I29" s="27">
        <v>2</v>
      </c>
      <c r="J29" t="s" s="28">
        <v>255</v>
      </c>
      <c r="K29" s="29"/>
      <c r="L29" s="30"/>
      <c r="M29" s="27">
        <v>2</v>
      </c>
      <c r="N29" t="s" s="28">
        <v>256</v>
      </c>
      <c r="O29" s="29"/>
      <c r="P29" s="30"/>
      <c r="Q29" s="27">
        <v>6</v>
      </c>
      <c r="R29" t="s" s="28">
        <v>257</v>
      </c>
      <c r="S29" s="29"/>
      <c r="T29" s="30"/>
    </row>
    <row r="30" ht="54.4" customHeight="1">
      <c r="A30" t="s" s="139">
        <v>274</v>
      </c>
      <c r="B30" s="203"/>
      <c r="C30" s="142"/>
      <c r="D30" s="142"/>
      <c r="E30" s="27">
        <v>4</v>
      </c>
      <c r="F30" t="s" s="28">
        <v>259</v>
      </c>
      <c r="G30" s="29"/>
      <c r="H30" s="30"/>
      <c r="I30" s="27">
        <v>6</v>
      </c>
      <c r="J30" t="s" s="28">
        <v>260</v>
      </c>
      <c r="K30" s="29"/>
      <c r="L30" s="30"/>
      <c r="M30" s="27">
        <v>6</v>
      </c>
      <c r="N30" t="s" s="28">
        <v>261</v>
      </c>
      <c r="O30" s="29"/>
      <c r="P30" s="30"/>
      <c r="Q30" s="27">
        <v>6</v>
      </c>
      <c r="R30" t="s" s="28">
        <v>261</v>
      </c>
      <c r="S30" s="29"/>
      <c r="T30" s="30"/>
    </row>
    <row r="31" ht="45.4" customHeight="1">
      <c r="A31" t="s" s="54">
        <v>262</v>
      </c>
      <c r="B31" s="218"/>
      <c r="C31" s="55"/>
      <c r="D31" s="95"/>
      <c r="E31" s="213"/>
      <c r="F31" t="s" s="28">
        <v>222</v>
      </c>
      <c r="G31" s="29"/>
      <c r="H31" s="30"/>
      <c r="I31" s="213"/>
      <c r="J31" s="29"/>
      <c r="K31" s="29"/>
      <c r="L31" s="30"/>
      <c r="M31" s="213"/>
      <c r="N31" s="29"/>
      <c r="O31" s="29"/>
      <c r="P31" s="30"/>
      <c r="Q31" s="213"/>
      <c r="R31" s="29"/>
      <c r="S31" s="29"/>
      <c r="T31" s="30"/>
    </row>
    <row r="32" ht="59.65" customHeight="1">
      <c r="A32" t="s" s="136">
        <v>241</v>
      </c>
      <c r="B32" t="s" s="56">
        <v>275</v>
      </c>
      <c r="C32" s="138"/>
      <c r="D32" s="138"/>
      <c r="E32" s="27">
        <v>5</v>
      </c>
      <c r="F32" t="s" s="28">
        <v>227</v>
      </c>
      <c r="G32" s="29"/>
      <c r="H32" s="30"/>
      <c r="I32" s="27">
        <v>6</v>
      </c>
      <c r="J32" t="s" s="28">
        <v>227</v>
      </c>
      <c r="K32" s="29"/>
      <c r="L32" s="30"/>
      <c r="M32" s="27">
        <v>6</v>
      </c>
      <c r="N32" t="s" s="28">
        <v>263</v>
      </c>
      <c r="O32" s="29"/>
      <c r="P32" s="30"/>
      <c r="Q32" s="27">
        <v>6</v>
      </c>
      <c r="R32" t="s" s="28">
        <v>263</v>
      </c>
      <c r="S32" s="29"/>
      <c r="T32" s="30"/>
    </row>
    <row r="33" ht="64.5" customHeight="1">
      <c r="A33" t="s" s="140">
        <v>196</v>
      </c>
      <c r="B33" t="s" s="140">
        <v>189</v>
      </c>
      <c r="C33" t="s" s="182">
        <v>48</v>
      </c>
      <c r="D33" s="183"/>
      <c r="E33" s="27">
        <v>5</v>
      </c>
      <c r="F33" t="s" s="28">
        <v>265</v>
      </c>
      <c r="G33" s="29"/>
      <c r="H33" s="30"/>
      <c r="I33" s="27">
        <v>6</v>
      </c>
      <c r="J33" t="s" s="28">
        <v>265</v>
      </c>
      <c r="K33" s="29"/>
      <c r="L33" s="30"/>
      <c r="M33" s="27">
        <v>6</v>
      </c>
      <c r="N33" t="s" s="28">
        <v>276</v>
      </c>
      <c r="O33" s="29"/>
      <c r="P33" s="30"/>
      <c r="Q33" s="27">
        <v>6</v>
      </c>
      <c r="R33" t="s" s="28">
        <v>276</v>
      </c>
      <c r="S33" s="29"/>
      <c r="T33" s="30"/>
    </row>
    <row r="34" ht="49.65" customHeight="1">
      <c r="A34" t="s" s="54">
        <v>266</v>
      </c>
      <c r="B34" s="218"/>
      <c r="C34" s="55"/>
      <c r="D34" s="95"/>
      <c r="E34" s="213"/>
      <c r="F34" t="s" s="28">
        <v>222</v>
      </c>
      <c r="G34" s="29"/>
      <c r="H34" s="30"/>
      <c r="I34" s="213"/>
      <c r="J34" s="29"/>
      <c r="K34" s="29"/>
      <c r="L34" s="30"/>
      <c r="M34" s="213"/>
      <c r="N34" s="29"/>
      <c r="O34" s="29"/>
      <c r="P34" s="30"/>
      <c r="Q34" s="213"/>
      <c r="R34" s="29"/>
      <c r="S34" s="29"/>
      <c r="T34" s="30"/>
    </row>
    <row r="35" ht="69.4" customHeight="1">
      <c r="A35" t="s" s="239">
        <v>277</v>
      </c>
      <c r="B35" s="230"/>
      <c r="C35" t="s" s="240">
        <v>48</v>
      </c>
      <c r="D35" s="241"/>
      <c r="E35" s="27">
        <v>2</v>
      </c>
      <c r="F35" t="s" s="28">
        <v>278</v>
      </c>
      <c r="G35" s="29"/>
      <c r="H35" s="30"/>
      <c r="I35" s="27">
        <v>2</v>
      </c>
      <c r="J35" t="s" s="28">
        <v>279</v>
      </c>
      <c r="K35" s="29"/>
      <c r="L35" s="30"/>
      <c r="M35" s="27">
        <v>3</v>
      </c>
      <c r="N35" t="s" s="28">
        <v>278</v>
      </c>
      <c r="O35" s="29"/>
      <c r="P35" s="30"/>
      <c r="Q35" s="27">
        <v>2</v>
      </c>
      <c r="R35" t="s" s="28">
        <v>279</v>
      </c>
      <c r="S35" s="29"/>
      <c r="T35" s="30"/>
    </row>
    <row r="36" ht="69.4" customHeight="1">
      <c r="A36" t="s" s="233">
        <v>280</v>
      </c>
      <c r="B36" s="234"/>
      <c r="C36" s="236"/>
      <c r="D36" s="236"/>
      <c r="E36" s="27">
        <v>2</v>
      </c>
      <c r="F36" t="s" s="28">
        <v>281</v>
      </c>
      <c r="G36" s="29"/>
      <c r="H36" s="30"/>
      <c r="I36" s="27">
        <v>2</v>
      </c>
      <c r="J36" t="s" s="28">
        <v>281</v>
      </c>
      <c r="K36" s="29"/>
      <c r="L36" s="30"/>
      <c r="M36" s="27">
        <v>3</v>
      </c>
      <c r="N36" t="s" s="28">
        <v>281</v>
      </c>
      <c r="O36" s="29"/>
      <c r="P36" s="30"/>
      <c r="Q36" s="27">
        <v>2</v>
      </c>
      <c r="R36" t="s" s="28">
        <v>281</v>
      </c>
      <c r="S36" s="29"/>
      <c r="T36" s="30"/>
    </row>
    <row r="37" ht="56.35" customHeight="1">
      <c r="A37" t="s" s="17">
        <v>14</v>
      </c>
      <c r="B37" s="18"/>
      <c r="C37" s="19"/>
      <c r="D37" s="19"/>
      <c r="E37" s="213"/>
      <c r="F37" t="s" s="28">
        <v>221</v>
      </c>
      <c r="G37" s="29"/>
      <c r="H37" s="30"/>
      <c r="I37" s="213"/>
      <c r="J37" s="29"/>
      <c r="K37" s="29"/>
      <c r="L37" s="30"/>
      <c r="M37" s="213"/>
      <c r="N37" s="29"/>
      <c r="O37" s="29"/>
      <c r="P37" s="30"/>
      <c r="Q37" s="213"/>
      <c r="R37" s="29"/>
      <c r="S37" s="29"/>
      <c r="T37" s="30"/>
    </row>
    <row r="38" ht="56.35" customHeight="1">
      <c r="A38" t="s" s="214">
        <v>243</v>
      </c>
      <c r="B38" s="215"/>
      <c r="C38" s="216"/>
      <c r="D38" s="216"/>
      <c r="E38" s="213"/>
      <c r="F38" s="29"/>
      <c r="G38" s="29"/>
      <c r="H38" s="30"/>
      <c r="I38" s="213"/>
      <c r="J38" s="29"/>
      <c r="K38" s="29"/>
      <c r="L38" s="30"/>
      <c r="M38" s="213"/>
      <c r="N38" s="29"/>
      <c r="O38" s="29"/>
      <c r="P38" s="30"/>
      <c r="Q38" s="213"/>
      <c r="R38" s="29"/>
      <c r="S38" s="29"/>
      <c r="T38" s="30"/>
    </row>
    <row r="39" ht="13.65" customHeight="1">
      <c r="A39" s="12"/>
      <c r="B39" s="12"/>
      <c r="C39" s="13"/>
      <c r="D39" s="13"/>
      <c r="E39" s="184"/>
      <c r="F39" s="83"/>
      <c r="G39" s="83"/>
      <c r="H39" s="84"/>
      <c r="I39" s="184"/>
      <c r="J39" s="83"/>
      <c r="K39" s="83"/>
      <c r="L39" s="84"/>
      <c r="M39" s="184"/>
      <c r="N39" s="83"/>
      <c r="O39" s="83"/>
      <c r="P39" s="84"/>
      <c r="Q39" s="184"/>
      <c r="R39" s="83"/>
      <c r="S39" s="83"/>
      <c r="T39" s="84"/>
    </row>
    <row r="40" ht="37.5" customHeight="1">
      <c r="A40" s="125"/>
      <c r="B40" s="125"/>
      <c r="C40" s="126"/>
      <c r="D40" s="127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</row>
    <row r="41" ht="37.5" customHeight="1">
      <c r="A41" t="s" s="7">
        <v>244</v>
      </c>
      <c r="B41" s="2"/>
      <c r="C41" s="2"/>
      <c r="D41" s="2"/>
      <c r="E41" s="91"/>
      <c r="F41" s="92"/>
      <c r="G41" s="93"/>
      <c r="H41" s="94"/>
      <c r="I41" s="91"/>
      <c r="J41" s="92"/>
      <c r="K41" s="93"/>
      <c r="L41" s="94"/>
      <c r="M41" s="91"/>
      <c r="N41" s="92"/>
      <c r="O41" s="93"/>
      <c r="P41" s="94"/>
      <c r="Q41" s="91"/>
      <c r="R41" s="92"/>
      <c r="S41" s="93"/>
      <c r="T41" s="94"/>
    </row>
    <row r="42" ht="37.5" customHeight="1">
      <c r="A42" t="s" s="17">
        <v>14</v>
      </c>
      <c r="B42" s="18"/>
      <c r="C42" s="19"/>
      <c r="D42" s="19"/>
      <c r="E42" s="205"/>
      <c r="F42" t="s" s="206">
        <v>221</v>
      </c>
      <c r="G42" s="86"/>
      <c r="H42" s="207"/>
      <c r="I42" s="205"/>
      <c r="J42" s="86"/>
      <c r="K42" s="86"/>
      <c r="L42" s="207"/>
      <c r="M42" s="205"/>
      <c r="N42" s="86"/>
      <c r="O42" s="86"/>
      <c r="P42" s="207"/>
      <c r="Q42" s="205"/>
      <c r="R42" s="86"/>
      <c r="S42" s="86"/>
      <c r="T42" s="207"/>
    </row>
    <row r="43" ht="37.5" customHeight="1">
      <c r="A43" t="s" s="214">
        <v>245</v>
      </c>
      <c r="B43" s="215"/>
      <c r="C43" s="216"/>
      <c r="D43" s="216"/>
      <c r="E43" s="213"/>
      <c r="F43" s="29"/>
      <c r="G43" s="29"/>
      <c r="H43" s="30"/>
      <c r="I43" s="213"/>
      <c r="J43" s="29"/>
      <c r="K43" s="29"/>
      <c r="L43" s="30"/>
      <c r="M43" s="213"/>
      <c r="N43" s="29"/>
      <c r="O43" s="29"/>
      <c r="P43" s="30"/>
      <c r="Q43" s="213"/>
      <c r="R43" s="29"/>
      <c r="S43" s="29"/>
      <c r="T43" s="30"/>
    </row>
    <row r="44" ht="98.5" customHeight="1">
      <c r="A44" t="s" s="17">
        <v>108</v>
      </c>
      <c r="B44" s="18"/>
      <c r="C44" s="19"/>
      <c r="D44" s="95"/>
      <c r="E44" s="213"/>
      <c r="F44" t="s" s="28">
        <v>246</v>
      </c>
      <c r="G44" s="29"/>
      <c r="H44" t="s" s="64">
        <v>32</v>
      </c>
      <c r="I44" s="213"/>
      <c r="J44" s="29"/>
      <c r="K44" s="29"/>
      <c r="L44" t="s" s="64">
        <v>32</v>
      </c>
      <c r="M44" s="213"/>
      <c r="N44" s="29"/>
      <c r="O44" s="29"/>
      <c r="P44" t="s" s="64">
        <v>32</v>
      </c>
      <c r="Q44" s="213"/>
      <c r="R44" s="29"/>
      <c r="S44" s="29"/>
      <c r="T44" t="s" s="64">
        <v>32</v>
      </c>
    </row>
    <row r="45" ht="101.45" customHeight="1">
      <c r="A45" t="s" s="136">
        <v>217</v>
      </c>
      <c r="B45" s="194"/>
      <c r="C45" t="s" s="137">
        <v>48</v>
      </c>
      <c r="D45" s="138"/>
      <c r="E45" s="27">
        <v>4</v>
      </c>
      <c r="F45" s="47">
        <v>3</v>
      </c>
      <c r="G45" t="s" s="28">
        <v>247</v>
      </c>
      <c r="H45" t="s" s="64">
        <v>248</v>
      </c>
      <c r="I45" s="27">
        <v>4</v>
      </c>
      <c r="J45" s="47">
        <v>3</v>
      </c>
      <c r="K45" t="s" s="28">
        <v>247</v>
      </c>
      <c r="L45" t="s" s="64">
        <v>248</v>
      </c>
      <c r="M45" s="27">
        <v>4</v>
      </c>
      <c r="N45" s="47">
        <v>3</v>
      </c>
      <c r="O45" t="s" s="28">
        <v>247</v>
      </c>
      <c r="P45" t="s" s="64">
        <v>248</v>
      </c>
      <c r="Q45" s="27">
        <v>4</v>
      </c>
      <c r="R45" s="47">
        <v>3</v>
      </c>
      <c r="S45" t="s" s="28">
        <v>247</v>
      </c>
      <c r="T45" t="s" s="64">
        <v>248</v>
      </c>
    </row>
    <row r="46" ht="81.3" customHeight="1">
      <c r="A46" t="s" s="59">
        <v>116</v>
      </c>
      <c r="B46" s="60"/>
      <c r="C46" t="s" s="61">
        <v>57</v>
      </c>
      <c r="D46" s="62"/>
      <c r="E46" s="27">
        <v>4</v>
      </c>
      <c r="F46" s="47">
        <v>6</v>
      </c>
      <c r="G46" t="s" s="28">
        <v>247</v>
      </c>
      <c r="H46" t="s" s="64">
        <v>249</v>
      </c>
      <c r="I46" s="27">
        <v>4</v>
      </c>
      <c r="J46" s="47">
        <v>6</v>
      </c>
      <c r="K46" t="s" s="28">
        <v>247</v>
      </c>
      <c r="L46" t="s" s="64">
        <v>249</v>
      </c>
      <c r="M46" s="27">
        <v>4</v>
      </c>
      <c r="N46" s="47">
        <v>6</v>
      </c>
      <c r="O46" t="s" s="28">
        <v>247</v>
      </c>
      <c r="P46" t="s" s="64">
        <v>249</v>
      </c>
      <c r="Q46" s="27">
        <v>4</v>
      </c>
      <c r="R46" s="47">
        <v>6</v>
      </c>
      <c r="S46" t="s" s="28">
        <v>247</v>
      </c>
      <c r="T46" t="s" s="64">
        <v>249</v>
      </c>
    </row>
    <row r="47" ht="84.05" customHeight="1">
      <c r="A47" t="s" s="139">
        <v>282</v>
      </c>
      <c r="B47" s="203"/>
      <c r="C47" s="142"/>
      <c r="D47" s="142"/>
      <c r="E47" s="27">
        <v>4</v>
      </c>
      <c r="F47" t="s" s="28">
        <v>281</v>
      </c>
      <c r="G47" t="s" s="28">
        <v>283</v>
      </c>
      <c r="H47" t="s" s="64">
        <v>284</v>
      </c>
      <c r="I47" s="27">
        <v>4</v>
      </c>
      <c r="J47" t="s" s="28">
        <v>281</v>
      </c>
      <c r="K47" t="s" s="28">
        <v>283</v>
      </c>
      <c r="L47" t="s" s="64">
        <v>284</v>
      </c>
      <c r="M47" s="27">
        <v>4</v>
      </c>
      <c r="N47" t="s" s="28">
        <v>281</v>
      </c>
      <c r="O47" t="s" s="28">
        <v>283</v>
      </c>
      <c r="P47" t="s" s="64">
        <v>284</v>
      </c>
      <c r="Q47" s="27">
        <v>4</v>
      </c>
      <c r="R47" t="s" s="28">
        <v>281</v>
      </c>
      <c r="S47" t="s" s="28">
        <v>283</v>
      </c>
      <c r="T47" t="s" s="64">
        <v>284</v>
      </c>
    </row>
    <row r="48" ht="18.9" customHeight="1">
      <c r="A48" s="12"/>
      <c r="B48" s="12"/>
      <c r="C48" s="13"/>
      <c r="D48" s="13"/>
      <c r="E48" s="184"/>
      <c r="F48" s="83"/>
      <c r="G48" s="83"/>
      <c r="H48" s="84"/>
      <c r="I48" s="184"/>
      <c r="J48" s="83"/>
      <c r="K48" s="83"/>
      <c r="L48" s="84"/>
      <c r="M48" s="184"/>
      <c r="N48" s="83"/>
      <c r="O48" s="83"/>
      <c r="P48" s="84"/>
      <c r="Q48" s="184"/>
      <c r="R48" s="83"/>
      <c r="S48" s="83"/>
      <c r="T48" s="84"/>
    </row>
    <row r="49" ht="37.5" customHeight="1">
      <c r="A49" s="145"/>
      <c r="B49" s="145"/>
      <c r="C49" s="146"/>
      <c r="D49" s="147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</row>
    <row r="50" ht="15.75" customHeight="1">
      <c r="A50" s="149"/>
      <c r="B50" s="149"/>
      <c r="C50" s="150"/>
      <c r="D50" s="151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ht="15.75" customHeight="1">
      <c r="A51" s="149"/>
      <c r="B51" s="149"/>
      <c r="C51" s="150"/>
      <c r="D51" s="151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ht="15.75" customHeight="1">
      <c r="A52" s="149"/>
      <c r="B52" s="149"/>
      <c r="C52" s="150"/>
      <c r="D52" s="151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ht="15.75" customHeight="1">
      <c r="A53" s="149"/>
      <c r="B53" s="149"/>
      <c r="C53" s="150"/>
      <c r="D53" s="151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ht="15.75" customHeight="1">
      <c r="A54" s="149"/>
      <c r="B54" s="149"/>
      <c r="C54" s="150"/>
      <c r="D54" s="151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ht="15.75" customHeight="1">
      <c r="A55" s="149"/>
      <c r="B55" s="149"/>
      <c r="C55" s="150"/>
      <c r="D55" s="151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ht="15.75" customHeight="1">
      <c r="A56" s="149"/>
      <c r="B56" s="149"/>
      <c r="C56" s="150"/>
      <c r="D56" s="151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ht="15.75" customHeight="1">
      <c r="A57" s="149"/>
      <c r="B57" s="149"/>
      <c r="C57" s="150"/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ht="15.75" customHeight="1">
      <c r="A58" s="149"/>
      <c r="B58" s="149"/>
      <c r="C58" s="150"/>
      <c r="D58" s="151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ht="15.75" customHeight="1">
      <c r="A59" s="149"/>
      <c r="B59" s="149"/>
      <c r="C59" s="150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ht="15.75" customHeight="1">
      <c r="A60" s="149"/>
      <c r="B60" s="149"/>
      <c r="C60" s="150"/>
      <c r="D60" s="151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</row>
    <row r="761" ht="15.75" customHeight="1">
      <c r="A761" s="149"/>
      <c r="B761" s="149"/>
      <c r="C761" s="150"/>
      <c r="D761" s="151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</row>
    <row r="762" ht="15.75" customHeight="1">
      <c r="A762" s="149"/>
      <c r="B762" s="149"/>
      <c r="C762" s="150"/>
      <c r="D762" s="151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</row>
    <row r="763" ht="15.75" customHeight="1">
      <c r="A763" s="149"/>
      <c r="B763" s="149"/>
      <c r="C763" s="150"/>
      <c r="D763" s="151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</row>
    <row r="764" ht="15.75" customHeight="1">
      <c r="A764" s="149"/>
      <c r="B764" s="149"/>
      <c r="C764" s="150"/>
      <c r="D764" s="151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</row>
    <row r="765" ht="15.75" customHeight="1">
      <c r="A765" s="149"/>
      <c r="B765" s="149"/>
      <c r="C765" s="150"/>
      <c r="D765" s="151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</row>
    <row r="766" ht="15.75" customHeight="1">
      <c r="A766" s="149"/>
      <c r="B766" s="149"/>
      <c r="C766" s="150"/>
      <c r="D766" s="151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</row>
    <row r="767" ht="15.75" customHeight="1">
      <c r="A767" s="149"/>
      <c r="B767" s="149"/>
      <c r="C767" s="150"/>
      <c r="D767" s="151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</row>
    <row r="768" ht="15.75" customHeight="1">
      <c r="A768" s="149"/>
      <c r="B768" s="149"/>
      <c r="C768" s="150"/>
      <c r="D768" s="151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</row>
    <row r="769" ht="15.75" customHeight="1">
      <c r="A769" s="153"/>
      <c r="B769" s="153"/>
      <c r="C769" s="154"/>
      <c r="D769" s="155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</row>
  </sheetData>
  <mergeCells count="12">
    <mergeCell ref="E23:H23"/>
    <mergeCell ref="E41:H41"/>
    <mergeCell ref="E1:H1"/>
    <mergeCell ref="I23:L23"/>
    <mergeCell ref="I41:L41"/>
    <mergeCell ref="I1:L1"/>
    <mergeCell ref="M23:P23"/>
    <mergeCell ref="M41:P41"/>
    <mergeCell ref="M1:P1"/>
    <mergeCell ref="Q23:T23"/>
    <mergeCell ref="Q41:T41"/>
    <mergeCell ref="Q1:T1"/>
  </mergeCells>
  <hyperlinks>
    <hyperlink ref="C5" r:id="rId1" location="" tooltip="" display="Video"/>
    <hyperlink ref="C6" r:id="rId2" location="" tooltip="" display="video"/>
    <hyperlink ref="C9" r:id="rId3" location="" tooltip="" display="Video "/>
    <hyperlink ref="C10" r:id="rId4" location="" tooltip="" display="Video "/>
    <hyperlink ref="C14" r:id="rId5" location="" tooltip="" display="Video "/>
    <hyperlink ref="C16" r:id="rId6" location="" tooltip="" display="Video"/>
    <hyperlink ref="C17" r:id="rId7" location="" tooltip="" display="Video "/>
    <hyperlink ref="C25" r:id="rId8" location="" tooltip="" display="Video"/>
    <hyperlink ref="C26" r:id="rId9" location="" tooltip="" display="video"/>
    <hyperlink ref="C27" r:id="rId10" location="" tooltip="" display="Video "/>
    <hyperlink ref="C33" r:id="rId11" location="" tooltip="" display="Video "/>
    <hyperlink ref="C35" r:id="rId12" location="" tooltip="" display="Video "/>
    <hyperlink ref="C45" r:id="rId13" location="" tooltip="" display="Video "/>
    <hyperlink ref="C46" r:id="rId14" location="" tooltip="" display="GIF 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762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242" customWidth="1"/>
    <col min="2" max="2" width="21.8516" style="242" customWidth="1"/>
    <col min="3" max="4" width="12.6719" style="242" customWidth="1"/>
    <col min="5" max="5" width="13.3125" style="242" customWidth="1"/>
    <col min="6" max="6" width="18.1797" style="242" customWidth="1"/>
    <col min="7" max="8" width="14.7031" style="242" customWidth="1"/>
    <col min="9" max="9" width="19.9141" style="242" customWidth="1"/>
    <col min="10" max="10" width="16.0625" style="242" customWidth="1"/>
    <col min="11" max="11" width="16.4531" style="242" customWidth="1"/>
    <col min="12" max="12" width="16.3281" style="242" customWidth="1"/>
    <col min="13" max="13" width="22.3516" style="242" customWidth="1"/>
    <col min="14" max="14" width="20.8516" style="242" customWidth="1"/>
    <col min="15" max="15" width="21.3516" style="242" customWidth="1"/>
    <col min="16" max="16" width="20" style="242" customWidth="1"/>
    <col min="17" max="20" width="17.1719" style="242" customWidth="1"/>
    <col min="21" max="16384" width="12.6719" style="242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</row>
    <row r="2" ht="19.5" customHeight="1">
      <c r="A2" t="s" s="7">
        <v>5</v>
      </c>
      <c r="B2" t="s" s="8">
        <v>6</v>
      </c>
      <c r="C2" t="s" s="8">
        <v>7</v>
      </c>
      <c r="D2" s="3"/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</row>
    <row r="3" ht="19.5" customHeight="1">
      <c r="A3" t="s" s="11">
        <v>13</v>
      </c>
      <c r="B3" s="12"/>
      <c r="C3" s="13"/>
      <c r="D3" s="13"/>
      <c r="E3" s="14"/>
      <c r="F3" s="15"/>
      <c r="G3" s="15"/>
      <c r="H3" s="16"/>
      <c r="I3" s="14"/>
      <c r="J3" s="15"/>
      <c r="K3" s="15"/>
      <c r="L3" s="16"/>
      <c r="M3" s="14"/>
      <c r="N3" s="15"/>
      <c r="O3" s="15"/>
      <c r="P3" s="16"/>
      <c r="Q3" s="14"/>
      <c r="R3" s="15"/>
      <c r="S3" s="15"/>
      <c r="T3" s="16"/>
    </row>
    <row r="4" ht="19.5" customHeight="1">
      <c r="A4" t="s" s="17">
        <v>14</v>
      </c>
      <c r="B4" s="18"/>
      <c r="C4" s="19"/>
      <c r="D4" s="19"/>
      <c r="E4" s="205"/>
      <c r="F4" t="s" s="206">
        <v>221</v>
      </c>
      <c r="G4" s="86"/>
      <c r="H4" s="207"/>
      <c r="I4" s="205"/>
      <c r="J4" s="86"/>
      <c r="K4" s="86"/>
      <c r="L4" s="207"/>
      <c r="M4" s="205"/>
      <c r="N4" s="86"/>
      <c r="O4" s="86"/>
      <c r="P4" s="207"/>
      <c r="Q4" s="205"/>
      <c r="R4" s="86"/>
      <c r="S4" s="86"/>
      <c r="T4" s="207"/>
    </row>
    <row r="5" ht="67.45" customHeight="1">
      <c r="A5" t="s" s="214">
        <v>245</v>
      </c>
      <c r="B5" s="215"/>
      <c r="C5" s="216"/>
      <c r="D5" s="216"/>
      <c r="E5" s="213"/>
      <c r="F5" s="29"/>
      <c r="G5" s="29"/>
      <c r="H5" s="30"/>
      <c r="I5" s="213"/>
      <c r="J5" s="29"/>
      <c r="K5" s="29"/>
      <c r="L5" s="30"/>
      <c r="M5" s="213"/>
      <c r="N5" s="29"/>
      <c r="O5" s="29"/>
      <c r="P5" s="30"/>
      <c r="Q5" s="213"/>
      <c r="R5" s="29"/>
      <c r="S5" s="29"/>
      <c r="T5" s="30"/>
    </row>
    <row r="6" ht="206.6" customHeight="1">
      <c r="A6" t="s" s="54">
        <v>285</v>
      </c>
      <c r="B6" s="18"/>
      <c r="C6" s="55"/>
      <c r="D6" t="s" s="243">
        <v>286</v>
      </c>
      <c r="E6" s="213"/>
      <c r="F6" t="s" s="28">
        <v>222</v>
      </c>
      <c r="G6" s="29"/>
      <c r="H6" s="30"/>
      <c r="I6" s="213"/>
      <c r="J6" s="29"/>
      <c r="K6" s="29"/>
      <c r="L6" s="30"/>
      <c r="M6" s="213"/>
      <c r="N6" s="29"/>
      <c r="O6" s="29"/>
      <c r="P6" s="30"/>
      <c r="Q6" s="213"/>
      <c r="R6" s="29"/>
      <c r="S6" s="29"/>
      <c r="T6" s="30"/>
    </row>
    <row r="7" ht="97.85" customHeight="1">
      <c r="A7" t="s" s="136">
        <v>217</v>
      </c>
      <c r="B7" s="194"/>
      <c r="C7" s="138"/>
      <c r="D7" s="138"/>
      <c r="E7" s="27">
        <v>2</v>
      </c>
      <c r="F7" t="s" s="28">
        <v>255</v>
      </c>
      <c r="G7" s="29"/>
      <c r="H7" s="30"/>
      <c r="I7" s="27">
        <v>6</v>
      </c>
      <c r="J7" t="s" s="28">
        <v>255</v>
      </c>
      <c r="K7" s="29"/>
      <c r="L7" s="30"/>
      <c r="M7" s="27">
        <v>6</v>
      </c>
      <c r="N7" t="s" s="28">
        <v>256</v>
      </c>
      <c r="O7" s="29"/>
      <c r="P7" s="30"/>
      <c r="Q7" s="27">
        <v>6</v>
      </c>
      <c r="R7" t="s" s="28">
        <v>257</v>
      </c>
      <c r="S7" s="29"/>
      <c r="T7" s="30"/>
    </row>
    <row r="8" ht="97.85" customHeight="1">
      <c r="A8" t="s" s="139">
        <v>287</v>
      </c>
      <c r="B8" t="s" s="140">
        <v>224</v>
      </c>
      <c r="C8" t="s" s="141">
        <v>48</v>
      </c>
      <c r="D8" s="142"/>
      <c r="E8" s="27">
        <v>6</v>
      </c>
      <c r="F8" t="s" s="28">
        <v>260</v>
      </c>
      <c r="G8" s="29"/>
      <c r="H8" s="30"/>
      <c r="I8" s="27">
        <v>6</v>
      </c>
      <c r="J8" t="s" s="28">
        <v>260</v>
      </c>
      <c r="K8" s="29"/>
      <c r="L8" s="30"/>
      <c r="M8" s="27">
        <v>6</v>
      </c>
      <c r="N8" t="s" s="28">
        <v>261</v>
      </c>
      <c r="O8" s="29"/>
      <c r="P8" s="30"/>
      <c r="Q8" s="27">
        <v>6</v>
      </c>
      <c r="R8" t="s" s="28">
        <v>261</v>
      </c>
      <c r="S8" s="29"/>
      <c r="T8" s="30"/>
    </row>
    <row r="9" ht="71.2" customHeight="1">
      <c r="A9" t="s" s="54">
        <v>288</v>
      </c>
      <c r="B9" s="18"/>
      <c r="C9" s="55"/>
      <c r="D9" t="s" s="243">
        <v>286</v>
      </c>
      <c r="E9" s="213"/>
      <c r="F9" t="s" s="28">
        <v>222</v>
      </c>
      <c r="G9" s="29"/>
      <c r="H9" s="30"/>
      <c r="I9" s="213"/>
      <c r="J9" s="29"/>
      <c r="K9" s="29"/>
      <c r="L9" s="30"/>
      <c r="M9" s="213"/>
      <c r="N9" s="29"/>
      <c r="O9" s="29"/>
      <c r="P9" s="30"/>
      <c r="Q9" s="213"/>
      <c r="R9" s="29"/>
      <c r="S9" s="29"/>
      <c r="T9" s="30"/>
    </row>
    <row r="10" ht="62.05" customHeight="1">
      <c r="A10" t="s" s="136">
        <v>228</v>
      </c>
      <c r="B10" t="s" s="56">
        <v>229</v>
      </c>
      <c r="C10" s="138"/>
      <c r="D10" s="138"/>
      <c r="E10" s="27">
        <v>6</v>
      </c>
      <c r="F10" t="s" s="28">
        <v>227</v>
      </c>
      <c r="G10" s="29"/>
      <c r="H10" s="30"/>
      <c r="I10" s="27">
        <v>6</v>
      </c>
      <c r="J10" t="s" s="28">
        <v>227</v>
      </c>
      <c r="K10" s="29"/>
      <c r="L10" s="30"/>
      <c r="M10" s="27">
        <v>6</v>
      </c>
      <c r="N10" t="s" s="28">
        <v>263</v>
      </c>
      <c r="O10" s="29"/>
      <c r="P10" s="30"/>
      <c r="Q10" s="27">
        <v>6</v>
      </c>
      <c r="R10" t="s" s="28">
        <v>263</v>
      </c>
      <c r="S10" s="29"/>
      <c r="T10" s="30"/>
    </row>
    <row r="11" ht="62.05" customHeight="1">
      <c r="A11" t="s" s="140">
        <v>212</v>
      </c>
      <c r="B11" t="s" s="140">
        <v>189</v>
      </c>
      <c r="C11" t="s" s="182">
        <v>48</v>
      </c>
      <c r="D11" s="183"/>
      <c r="E11" s="27">
        <v>6</v>
      </c>
      <c r="F11" t="s" s="28">
        <v>289</v>
      </c>
      <c r="G11" s="29"/>
      <c r="H11" s="30"/>
      <c r="I11" s="27">
        <v>6</v>
      </c>
      <c r="J11" t="s" s="28">
        <v>290</v>
      </c>
      <c r="K11" s="29"/>
      <c r="L11" s="30"/>
      <c r="M11" s="27">
        <v>6</v>
      </c>
      <c r="N11" t="s" s="28">
        <v>291</v>
      </c>
      <c r="O11" s="29"/>
      <c r="P11" s="30"/>
      <c r="Q11" s="27">
        <v>6</v>
      </c>
      <c r="R11" t="s" s="28">
        <v>291</v>
      </c>
      <c r="S11" s="29"/>
      <c r="T11" s="30"/>
    </row>
    <row r="12" ht="40.8" customHeight="1">
      <c r="A12" t="s" s="54">
        <v>266</v>
      </c>
      <c r="B12" s="218"/>
      <c r="C12" s="55"/>
      <c r="D12" s="95"/>
      <c r="E12" s="213"/>
      <c r="F12" t="s" s="28">
        <v>222</v>
      </c>
      <c r="G12" s="29"/>
      <c r="H12" s="30"/>
      <c r="I12" s="213"/>
      <c r="J12" s="29"/>
      <c r="K12" s="29"/>
      <c r="L12" s="30"/>
      <c r="M12" s="213"/>
      <c r="N12" s="29"/>
      <c r="O12" s="29"/>
      <c r="P12" s="30"/>
      <c r="Q12" s="213"/>
      <c r="R12" s="29"/>
      <c r="S12" s="29"/>
      <c r="T12" s="30"/>
    </row>
    <row r="13" ht="59.1" customHeight="1">
      <c r="A13" t="s" s="229">
        <v>292</v>
      </c>
      <c r="B13" s="230"/>
      <c r="C13" s="232"/>
      <c r="D13" s="232"/>
      <c r="E13" s="27">
        <v>3</v>
      </c>
      <c r="F13" t="s" s="28">
        <v>281</v>
      </c>
      <c r="G13" s="29"/>
      <c r="H13" s="30"/>
      <c r="I13" s="27">
        <v>3</v>
      </c>
      <c r="J13" t="s" s="28">
        <v>281</v>
      </c>
      <c r="K13" s="29"/>
      <c r="L13" s="30"/>
      <c r="M13" s="27">
        <v>3</v>
      </c>
      <c r="N13" t="s" s="28">
        <v>281</v>
      </c>
      <c r="O13" s="29"/>
      <c r="P13" s="30"/>
      <c r="Q13" s="27">
        <v>3</v>
      </c>
      <c r="R13" t="s" s="28">
        <v>281</v>
      </c>
      <c r="S13" s="29"/>
      <c r="T13" s="30"/>
    </row>
    <row r="14" ht="59.1" customHeight="1">
      <c r="A14" t="s" s="233">
        <v>270</v>
      </c>
      <c r="B14" s="234"/>
      <c r="C14" s="236"/>
      <c r="D14" s="236"/>
      <c r="E14" s="27">
        <v>3</v>
      </c>
      <c r="F14" t="s" s="28">
        <v>278</v>
      </c>
      <c r="G14" s="29"/>
      <c r="H14" s="30"/>
      <c r="I14" s="27">
        <v>3</v>
      </c>
      <c r="J14" t="s" s="28">
        <v>279</v>
      </c>
      <c r="K14" s="29"/>
      <c r="L14" s="30"/>
      <c r="M14" s="27">
        <v>3</v>
      </c>
      <c r="N14" t="s" s="28">
        <v>278</v>
      </c>
      <c r="O14" s="29"/>
      <c r="P14" s="30"/>
      <c r="Q14" s="27">
        <v>3</v>
      </c>
      <c r="R14" t="s" s="28">
        <v>279</v>
      </c>
      <c r="S14" s="29"/>
      <c r="T14" s="30"/>
    </row>
    <row r="15" ht="62.05" customHeight="1">
      <c r="A15" t="s" s="17">
        <v>14</v>
      </c>
      <c r="B15" s="18"/>
      <c r="C15" s="19"/>
      <c r="D15" s="19"/>
      <c r="E15" s="213"/>
      <c r="F15" t="s" s="28">
        <v>221</v>
      </c>
      <c r="G15" s="29"/>
      <c r="H15" s="30"/>
      <c r="I15" s="213"/>
      <c r="J15" s="29"/>
      <c r="K15" s="29"/>
      <c r="L15" s="30"/>
      <c r="M15" s="213"/>
      <c r="N15" s="29"/>
      <c r="O15" s="29"/>
      <c r="P15" s="30"/>
      <c r="Q15" s="213"/>
      <c r="R15" s="29"/>
      <c r="S15" s="29"/>
      <c r="T15" s="30"/>
    </row>
    <row r="16" ht="62.05" customHeight="1">
      <c r="A16" t="s" s="214">
        <v>243</v>
      </c>
      <c r="B16" s="215"/>
      <c r="C16" s="216"/>
      <c r="D16" s="216"/>
      <c r="E16" s="213"/>
      <c r="F16" s="29"/>
      <c r="G16" s="29"/>
      <c r="H16" s="30"/>
      <c r="I16" s="213"/>
      <c r="J16" s="29"/>
      <c r="K16" s="29"/>
      <c r="L16" s="30"/>
      <c r="M16" s="213"/>
      <c r="N16" s="29"/>
      <c r="O16" s="29"/>
      <c r="P16" s="30"/>
      <c r="Q16" s="213"/>
      <c r="R16" s="29"/>
      <c r="S16" s="29"/>
      <c r="T16" s="30"/>
    </row>
    <row r="17" ht="10" customHeight="1">
      <c r="A17" s="12"/>
      <c r="B17" s="12"/>
      <c r="C17" s="13"/>
      <c r="D17" s="13"/>
      <c r="E17" s="184"/>
      <c r="F17" s="83"/>
      <c r="G17" s="83"/>
      <c r="H17" s="84"/>
      <c r="I17" s="184"/>
      <c r="J17" s="83"/>
      <c r="K17" s="83"/>
      <c r="L17" s="84"/>
      <c r="M17" s="184"/>
      <c r="N17" s="83"/>
      <c r="O17" s="83"/>
      <c r="P17" s="84"/>
      <c r="Q17" s="184"/>
      <c r="R17" s="83"/>
      <c r="S17" s="83"/>
      <c r="T17" s="84"/>
    </row>
    <row r="18" ht="39" customHeight="1">
      <c r="A18" s="85"/>
      <c r="B18" s="22"/>
      <c r="C18" s="23"/>
      <c r="D18" s="20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</row>
    <row r="19" ht="19.5" customHeight="1">
      <c r="A19" s="87"/>
      <c r="B19" s="88"/>
      <c r="C19" s="89"/>
      <c r="D19" s="9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ht="26" customHeight="1">
      <c r="A20" t="s" s="7">
        <v>68</v>
      </c>
      <c r="B20" s="2"/>
      <c r="C20" s="2"/>
      <c r="D20" s="2"/>
      <c r="E20" s="91"/>
      <c r="F20" s="92"/>
      <c r="G20" s="93"/>
      <c r="H20" s="94"/>
      <c r="I20" s="91"/>
      <c r="J20" s="92"/>
      <c r="K20" s="93"/>
      <c r="L20" s="94"/>
      <c r="M20" s="91"/>
      <c r="N20" s="92"/>
      <c r="O20" s="93"/>
      <c r="P20" s="94"/>
      <c r="Q20" s="91"/>
      <c r="R20" s="92"/>
      <c r="S20" s="93"/>
      <c r="T20" s="94"/>
    </row>
    <row r="21" ht="68.35" customHeight="1">
      <c r="A21" t="s" s="17">
        <v>14</v>
      </c>
      <c r="B21" s="18"/>
      <c r="C21" s="19"/>
      <c r="D21" s="19"/>
      <c r="E21" s="205"/>
      <c r="F21" t="s" s="206">
        <v>221</v>
      </c>
      <c r="G21" s="86"/>
      <c r="H21" s="207"/>
      <c r="I21" s="205"/>
      <c r="J21" s="86"/>
      <c r="K21" s="86"/>
      <c r="L21" s="207"/>
      <c r="M21" s="205"/>
      <c r="N21" s="86"/>
      <c r="O21" s="86"/>
      <c r="P21" s="207"/>
      <c r="Q21" s="205"/>
      <c r="R21" s="86"/>
      <c r="S21" s="86"/>
      <c r="T21" s="207"/>
    </row>
    <row r="22" ht="82.7" customHeight="1">
      <c r="A22" t="s" s="214">
        <v>245</v>
      </c>
      <c r="B22" s="215"/>
      <c r="C22" s="216"/>
      <c r="D22" s="216"/>
      <c r="E22" s="213"/>
      <c r="F22" s="29"/>
      <c r="G22" s="29"/>
      <c r="H22" s="30"/>
      <c r="I22" s="213"/>
      <c r="J22" s="29"/>
      <c r="K22" s="29"/>
      <c r="L22" s="30"/>
      <c r="M22" s="213"/>
      <c r="N22" s="29"/>
      <c r="O22" s="29"/>
      <c r="P22" s="30"/>
      <c r="Q22" s="213"/>
      <c r="R22" s="29"/>
      <c r="S22" s="29"/>
      <c r="T22" s="30"/>
    </row>
    <row r="23" ht="171.35" customHeight="1">
      <c r="A23" t="s" s="54">
        <v>285</v>
      </c>
      <c r="B23" s="218"/>
      <c r="C23" s="55"/>
      <c r="D23" t="s" s="244">
        <v>293</v>
      </c>
      <c r="E23" s="213"/>
      <c r="F23" t="s" s="28">
        <v>222</v>
      </c>
      <c r="G23" s="29"/>
      <c r="H23" s="30"/>
      <c r="I23" s="213"/>
      <c r="J23" s="29"/>
      <c r="K23" s="29"/>
      <c r="L23" s="30"/>
      <c r="M23" s="213"/>
      <c r="N23" s="29"/>
      <c r="O23" s="29"/>
      <c r="P23" s="30"/>
      <c r="Q23" s="213"/>
      <c r="R23" s="29"/>
      <c r="S23" s="29"/>
      <c r="T23" s="30"/>
    </row>
    <row r="24" ht="65.75" customHeight="1">
      <c r="A24" t="s" s="136">
        <v>294</v>
      </c>
      <c r="B24" s="194"/>
      <c r="C24" s="138"/>
      <c r="D24" s="138"/>
      <c r="E24" s="27">
        <v>2</v>
      </c>
      <c r="F24" t="s" s="28">
        <v>191</v>
      </c>
      <c r="G24" s="29"/>
      <c r="H24" s="30"/>
      <c r="I24" s="27">
        <v>3</v>
      </c>
      <c r="J24" t="s" s="28">
        <v>295</v>
      </c>
      <c r="K24" s="29"/>
      <c r="L24" s="30"/>
      <c r="M24" s="27">
        <v>3</v>
      </c>
      <c r="N24" t="s" s="28">
        <v>295</v>
      </c>
      <c r="O24" s="29"/>
      <c r="P24" s="30"/>
      <c r="Q24" s="27">
        <v>3</v>
      </c>
      <c r="R24" t="s" s="28">
        <v>295</v>
      </c>
      <c r="S24" s="29"/>
      <c r="T24" s="29"/>
    </row>
    <row r="25" ht="83.9" customHeight="1">
      <c r="A25" t="s" s="140">
        <v>196</v>
      </c>
      <c r="B25" t="s" s="140">
        <v>189</v>
      </c>
      <c r="C25" t="s" s="182">
        <v>48</v>
      </c>
      <c r="D25" s="183"/>
      <c r="E25" s="27">
        <v>6</v>
      </c>
      <c r="F25" t="s" s="28">
        <v>290</v>
      </c>
      <c r="G25" s="29"/>
      <c r="H25" s="30"/>
      <c r="I25" s="27">
        <v>6</v>
      </c>
      <c r="J25" t="s" s="28">
        <v>290</v>
      </c>
      <c r="K25" s="29"/>
      <c r="L25" s="30"/>
      <c r="M25" s="27">
        <v>6</v>
      </c>
      <c r="N25" t="s" s="28">
        <v>291</v>
      </c>
      <c r="O25" s="29"/>
      <c r="P25" s="30"/>
      <c r="Q25" s="27">
        <v>6</v>
      </c>
      <c r="R25" t="s" s="28">
        <v>291</v>
      </c>
      <c r="S25" s="29"/>
      <c r="T25" s="30"/>
    </row>
    <row r="26" ht="83.9" customHeight="1">
      <c r="A26" t="s" s="54">
        <v>288</v>
      </c>
      <c r="B26" s="18"/>
      <c r="C26" s="55"/>
      <c r="D26" t="s" s="243">
        <v>286</v>
      </c>
      <c r="E26" s="213"/>
      <c r="F26" t="s" s="28">
        <v>222</v>
      </c>
      <c r="G26" s="29"/>
      <c r="H26" s="30"/>
      <c r="I26" s="213"/>
      <c r="J26" s="29"/>
      <c r="K26" s="29"/>
      <c r="L26" s="30"/>
      <c r="M26" s="213"/>
      <c r="N26" s="29"/>
      <c r="O26" s="29"/>
      <c r="P26" s="30"/>
      <c r="Q26" s="213"/>
      <c r="R26" s="29"/>
      <c r="S26" s="29"/>
      <c r="T26" s="30"/>
    </row>
    <row r="27" ht="54.4" customHeight="1">
      <c r="A27" t="s" s="239">
        <v>296</v>
      </c>
      <c r="B27" t="s" s="229">
        <v>89</v>
      </c>
      <c r="C27" s="241"/>
      <c r="D27" s="241"/>
      <c r="E27" s="27">
        <v>4</v>
      </c>
      <c r="F27" t="s" s="28">
        <v>297</v>
      </c>
      <c r="G27" t="s" s="28">
        <v>298</v>
      </c>
      <c r="H27" t="s" s="64">
        <v>299</v>
      </c>
      <c r="I27" s="27">
        <v>2</v>
      </c>
      <c r="J27" t="s" s="28">
        <v>300</v>
      </c>
      <c r="K27" t="s" s="28">
        <v>298</v>
      </c>
      <c r="L27" t="s" s="64">
        <v>299</v>
      </c>
      <c r="M27" s="27">
        <v>2</v>
      </c>
      <c r="N27" t="s" s="28">
        <v>300</v>
      </c>
      <c r="O27" t="s" s="28">
        <v>301</v>
      </c>
      <c r="P27" t="s" s="64">
        <v>299</v>
      </c>
      <c r="Q27" s="27">
        <v>2</v>
      </c>
      <c r="R27" t="s" s="28">
        <v>300</v>
      </c>
      <c r="S27" t="s" s="28">
        <v>301</v>
      </c>
      <c r="T27" t="s" s="64">
        <v>299</v>
      </c>
    </row>
    <row r="28" ht="54.35" customHeight="1">
      <c r="A28" t="s" s="245">
        <v>277</v>
      </c>
      <c r="B28" s="246"/>
      <c r="C28" s="247"/>
      <c r="D28" s="247"/>
      <c r="E28" s="27">
        <v>3</v>
      </c>
      <c r="F28" t="s" s="28">
        <v>278</v>
      </c>
      <c r="G28" s="29"/>
      <c r="H28" s="30"/>
      <c r="I28" s="27">
        <v>3</v>
      </c>
      <c r="J28" t="s" s="28">
        <v>279</v>
      </c>
      <c r="K28" s="29"/>
      <c r="L28" s="30"/>
      <c r="M28" s="27">
        <v>3</v>
      </c>
      <c r="N28" t="s" s="28">
        <v>278</v>
      </c>
      <c r="O28" s="29"/>
      <c r="P28" s="30"/>
      <c r="Q28" s="27">
        <v>3</v>
      </c>
      <c r="R28" t="s" s="28">
        <v>279</v>
      </c>
      <c r="S28" s="29"/>
      <c r="T28" s="30"/>
    </row>
    <row r="29" ht="85.1" customHeight="1">
      <c r="A29" t="s" s="233">
        <v>280</v>
      </c>
      <c r="B29" s="234"/>
      <c r="C29" s="236"/>
      <c r="D29" s="236"/>
      <c r="E29" s="27">
        <v>3</v>
      </c>
      <c r="F29" t="s" s="28">
        <v>281</v>
      </c>
      <c r="G29" s="29"/>
      <c r="H29" s="30"/>
      <c r="I29" s="27">
        <v>3</v>
      </c>
      <c r="J29" t="s" s="28">
        <v>281</v>
      </c>
      <c r="K29" s="29"/>
      <c r="L29" s="30"/>
      <c r="M29" s="27">
        <v>3</v>
      </c>
      <c r="N29" t="s" s="28">
        <v>281</v>
      </c>
      <c r="O29" s="29"/>
      <c r="P29" s="30"/>
      <c r="Q29" s="27">
        <v>3</v>
      </c>
      <c r="R29" t="s" s="28">
        <v>281</v>
      </c>
      <c r="S29" s="29"/>
      <c r="T29" s="30"/>
    </row>
    <row r="30" ht="56.35" customHeight="1">
      <c r="A30" t="s" s="17">
        <v>14</v>
      </c>
      <c r="B30" s="18"/>
      <c r="C30" s="19"/>
      <c r="D30" s="19"/>
      <c r="E30" s="213"/>
      <c r="F30" t="s" s="28">
        <v>221</v>
      </c>
      <c r="G30" s="29"/>
      <c r="H30" s="30"/>
      <c r="I30" s="213"/>
      <c r="J30" s="29"/>
      <c r="K30" s="29"/>
      <c r="L30" s="30"/>
      <c r="M30" s="213"/>
      <c r="N30" s="29"/>
      <c r="O30" s="29"/>
      <c r="P30" s="30"/>
      <c r="Q30" s="213"/>
      <c r="R30" s="29"/>
      <c r="S30" s="29"/>
      <c r="T30" s="30"/>
    </row>
    <row r="31" ht="56.35" customHeight="1">
      <c r="A31" t="s" s="214">
        <v>243</v>
      </c>
      <c r="B31" s="215"/>
      <c r="C31" s="216"/>
      <c r="D31" s="216"/>
      <c r="E31" s="213"/>
      <c r="F31" s="29"/>
      <c r="G31" s="29"/>
      <c r="H31" s="30"/>
      <c r="I31" s="213"/>
      <c r="J31" s="29"/>
      <c r="K31" s="29"/>
      <c r="L31" s="30"/>
      <c r="M31" s="213"/>
      <c r="N31" s="29"/>
      <c r="O31" s="29"/>
      <c r="P31" s="30"/>
      <c r="Q31" s="213"/>
      <c r="R31" s="29"/>
      <c r="S31" s="29"/>
      <c r="T31" s="30"/>
    </row>
    <row r="32" ht="13.65" customHeight="1">
      <c r="A32" s="12"/>
      <c r="B32" s="12"/>
      <c r="C32" s="13"/>
      <c r="D32" s="13"/>
      <c r="E32" s="184"/>
      <c r="F32" s="83"/>
      <c r="G32" s="83"/>
      <c r="H32" s="84"/>
      <c r="I32" s="184"/>
      <c r="J32" s="83"/>
      <c r="K32" s="83"/>
      <c r="L32" s="84"/>
      <c r="M32" s="184"/>
      <c r="N32" s="83"/>
      <c r="O32" s="83"/>
      <c r="P32" s="84"/>
      <c r="Q32" s="184"/>
      <c r="R32" s="83"/>
      <c r="S32" s="83"/>
      <c r="T32" s="84"/>
    </row>
    <row r="33" ht="37.5" customHeight="1">
      <c r="A33" s="125"/>
      <c r="B33" s="125"/>
      <c r="C33" s="126"/>
      <c r="D33" s="127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</row>
    <row r="34" ht="37.5" customHeight="1">
      <c r="A34" t="s" s="7">
        <v>244</v>
      </c>
      <c r="B34" s="2"/>
      <c r="C34" s="2"/>
      <c r="D34" s="2"/>
      <c r="E34" s="91"/>
      <c r="F34" s="92"/>
      <c r="G34" s="93"/>
      <c r="H34" s="94"/>
      <c r="I34" s="91"/>
      <c r="J34" s="92"/>
      <c r="K34" s="93"/>
      <c r="L34" s="94"/>
      <c r="M34" s="91"/>
      <c r="N34" s="92"/>
      <c r="O34" s="93"/>
      <c r="P34" s="94"/>
      <c r="Q34" s="91"/>
      <c r="R34" s="92"/>
      <c r="S34" s="93"/>
      <c r="T34" s="94"/>
    </row>
    <row r="35" ht="37.5" customHeight="1">
      <c r="A35" t="s" s="17">
        <v>14</v>
      </c>
      <c r="B35" s="18"/>
      <c r="C35" s="19"/>
      <c r="D35" s="19"/>
      <c r="E35" s="205"/>
      <c r="F35" t="s" s="206">
        <v>221</v>
      </c>
      <c r="G35" s="86"/>
      <c r="H35" s="207"/>
      <c r="I35" s="205"/>
      <c r="J35" s="86"/>
      <c r="K35" s="86"/>
      <c r="L35" s="207"/>
      <c r="M35" s="205"/>
      <c r="N35" s="86"/>
      <c r="O35" s="86"/>
      <c r="P35" s="207"/>
      <c r="Q35" s="205"/>
      <c r="R35" s="86"/>
      <c r="S35" s="86"/>
      <c r="T35" s="207"/>
    </row>
    <row r="36" ht="37.5" customHeight="1">
      <c r="A36" t="s" s="214">
        <v>245</v>
      </c>
      <c r="B36" s="215"/>
      <c r="C36" s="216"/>
      <c r="D36" s="216"/>
      <c r="E36" s="213"/>
      <c r="F36" s="29"/>
      <c r="G36" s="29"/>
      <c r="H36" s="30"/>
      <c r="I36" s="213"/>
      <c r="J36" s="29"/>
      <c r="K36" s="29"/>
      <c r="L36" s="30"/>
      <c r="M36" s="213"/>
      <c r="N36" s="29"/>
      <c r="O36" s="29"/>
      <c r="P36" s="30"/>
      <c r="Q36" s="213"/>
      <c r="R36" s="29"/>
      <c r="S36" s="29"/>
      <c r="T36" s="30"/>
    </row>
    <row r="37" ht="98.5" customHeight="1">
      <c r="A37" t="s" s="17">
        <v>108</v>
      </c>
      <c r="B37" s="18"/>
      <c r="C37" s="19"/>
      <c r="D37" t="s" s="244">
        <v>293</v>
      </c>
      <c r="E37" s="213"/>
      <c r="F37" t="s" s="28">
        <v>246</v>
      </c>
      <c r="G37" s="29"/>
      <c r="H37" t="s" s="64">
        <v>32</v>
      </c>
      <c r="I37" s="213"/>
      <c r="J37" s="29"/>
      <c r="K37" s="29"/>
      <c r="L37" t="s" s="64">
        <v>32</v>
      </c>
      <c r="M37" s="213"/>
      <c r="N37" s="29"/>
      <c r="O37" s="29"/>
      <c r="P37" t="s" s="64">
        <v>32</v>
      </c>
      <c r="Q37" s="213"/>
      <c r="R37" s="29"/>
      <c r="S37" s="29"/>
      <c r="T37" t="s" s="64">
        <v>32</v>
      </c>
    </row>
    <row r="38" ht="101.45" customHeight="1">
      <c r="A38" t="s" s="136">
        <v>217</v>
      </c>
      <c r="B38" s="194"/>
      <c r="C38" t="s" s="137">
        <v>48</v>
      </c>
      <c r="D38" s="138"/>
      <c r="E38" s="27">
        <v>4</v>
      </c>
      <c r="F38" t="s" s="28">
        <v>137</v>
      </c>
      <c r="G38" t="s" s="28">
        <v>302</v>
      </c>
      <c r="H38" t="s" s="64">
        <v>303</v>
      </c>
      <c r="I38" s="27">
        <v>4</v>
      </c>
      <c r="J38" t="s" s="28">
        <v>137</v>
      </c>
      <c r="K38" t="s" s="28">
        <v>302</v>
      </c>
      <c r="L38" t="s" s="64">
        <v>303</v>
      </c>
      <c r="M38" s="27">
        <v>4</v>
      </c>
      <c r="N38" t="s" s="28">
        <v>137</v>
      </c>
      <c r="O38" t="s" s="28">
        <v>304</v>
      </c>
      <c r="P38" t="s" s="64">
        <v>303</v>
      </c>
      <c r="Q38" s="27">
        <v>4</v>
      </c>
      <c r="R38" t="s" s="28">
        <v>137</v>
      </c>
      <c r="S38" t="s" s="28">
        <v>303</v>
      </c>
      <c r="T38" t="s" s="28">
        <v>303</v>
      </c>
    </row>
    <row r="39" ht="81.3" customHeight="1">
      <c r="A39" t="s" s="59">
        <v>116</v>
      </c>
      <c r="B39" s="60"/>
      <c r="C39" t="s" s="61">
        <v>57</v>
      </c>
      <c r="D39" s="62"/>
      <c r="E39" s="27">
        <v>4</v>
      </c>
      <c r="F39" t="s" s="28">
        <v>137</v>
      </c>
      <c r="G39" t="s" s="28">
        <v>302</v>
      </c>
      <c r="H39" t="s" s="64">
        <v>303</v>
      </c>
      <c r="I39" s="27">
        <v>4</v>
      </c>
      <c r="J39" t="s" s="28">
        <v>137</v>
      </c>
      <c r="K39" t="s" s="28">
        <v>302</v>
      </c>
      <c r="L39" t="s" s="64">
        <v>303</v>
      </c>
      <c r="M39" s="27">
        <v>4</v>
      </c>
      <c r="N39" t="s" s="28">
        <v>137</v>
      </c>
      <c r="O39" t="s" s="28">
        <v>304</v>
      </c>
      <c r="P39" t="s" s="64">
        <v>303</v>
      </c>
      <c r="Q39" s="27">
        <v>4</v>
      </c>
      <c r="R39" t="s" s="28">
        <v>137</v>
      </c>
      <c r="S39" t="s" s="28">
        <v>303</v>
      </c>
      <c r="T39" t="s" s="28">
        <v>303</v>
      </c>
    </row>
    <row r="40" ht="84.05" customHeight="1">
      <c r="A40" t="s" s="139">
        <v>305</v>
      </c>
      <c r="B40" s="203"/>
      <c r="C40" s="142"/>
      <c r="D40" s="142"/>
      <c r="E40" s="27">
        <v>4</v>
      </c>
      <c r="F40" s="47">
        <v>10</v>
      </c>
      <c r="G40" t="s" s="28">
        <v>283</v>
      </c>
      <c r="H40" t="s" s="64">
        <v>284</v>
      </c>
      <c r="I40" s="27">
        <v>4</v>
      </c>
      <c r="J40" s="47">
        <v>10</v>
      </c>
      <c r="K40" t="s" s="28">
        <v>283</v>
      </c>
      <c r="L40" t="s" s="64">
        <v>284</v>
      </c>
      <c r="M40" s="27">
        <v>4</v>
      </c>
      <c r="N40" s="47">
        <v>10</v>
      </c>
      <c r="O40" t="s" s="28">
        <v>284</v>
      </c>
      <c r="P40" t="s" s="64">
        <v>306</v>
      </c>
      <c r="Q40" s="27">
        <v>4</v>
      </c>
      <c r="R40" s="47">
        <v>10</v>
      </c>
      <c r="S40" t="s" s="28">
        <v>284</v>
      </c>
      <c r="T40" t="s" s="64">
        <v>306</v>
      </c>
    </row>
    <row r="41" ht="18.9" customHeight="1">
      <c r="A41" s="12"/>
      <c r="B41" s="12"/>
      <c r="C41" s="13"/>
      <c r="D41" s="13"/>
      <c r="E41" s="184"/>
      <c r="F41" s="83"/>
      <c r="G41" s="83"/>
      <c r="H41" s="84"/>
      <c r="I41" s="184"/>
      <c r="J41" s="83"/>
      <c r="K41" s="83"/>
      <c r="L41" s="84"/>
      <c r="M41" s="184"/>
      <c r="N41" s="83"/>
      <c r="O41" s="83"/>
      <c r="P41" s="84"/>
      <c r="Q41" s="184"/>
      <c r="R41" s="83"/>
      <c r="S41" s="83"/>
      <c r="T41" s="84"/>
    </row>
    <row r="42" ht="37.5" customHeight="1">
      <c r="A42" s="145"/>
      <c r="B42" s="145"/>
      <c r="C42" s="146"/>
      <c r="D42" s="147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  <row r="43" ht="15.75" customHeight="1">
      <c r="A43" s="149"/>
      <c r="B43" s="149"/>
      <c r="C43" s="150"/>
      <c r="D43" s="151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</row>
    <row r="44" ht="15.75" customHeight="1">
      <c r="A44" s="149"/>
      <c r="B44" s="149"/>
      <c r="C44" s="150"/>
      <c r="D44" s="151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</row>
    <row r="45" ht="15.75" customHeight="1">
      <c r="A45" s="149"/>
      <c r="B45" s="149"/>
      <c r="C45" s="150"/>
      <c r="D45" s="151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</row>
    <row r="46" ht="15.75" customHeight="1">
      <c r="A46" s="149"/>
      <c r="B46" s="149"/>
      <c r="C46" s="150"/>
      <c r="D46" s="151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</row>
    <row r="47" ht="15.75" customHeight="1">
      <c r="A47" s="149"/>
      <c r="B47" s="149"/>
      <c r="C47" s="150"/>
      <c r="D47" s="151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</row>
    <row r="48" ht="15.75" customHeight="1">
      <c r="A48" s="149"/>
      <c r="B48" s="149"/>
      <c r="C48" s="150"/>
      <c r="D48" s="151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</row>
    <row r="49" ht="15.75" customHeight="1">
      <c r="A49" s="149"/>
      <c r="B49" s="149"/>
      <c r="C49" s="150"/>
      <c r="D49" s="151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</row>
    <row r="50" ht="15.75" customHeight="1">
      <c r="A50" s="149"/>
      <c r="B50" s="149"/>
      <c r="C50" s="150"/>
      <c r="D50" s="151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ht="15.75" customHeight="1">
      <c r="A51" s="149"/>
      <c r="B51" s="149"/>
      <c r="C51" s="150"/>
      <c r="D51" s="151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ht="15.75" customHeight="1">
      <c r="A52" s="149"/>
      <c r="B52" s="149"/>
      <c r="C52" s="150"/>
      <c r="D52" s="151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ht="15.75" customHeight="1">
      <c r="A53" s="149"/>
      <c r="B53" s="149"/>
      <c r="C53" s="150"/>
      <c r="D53" s="151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ht="15.75" customHeight="1">
      <c r="A54" s="149"/>
      <c r="B54" s="149"/>
      <c r="C54" s="150"/>
      <c r="D54" s="151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ht="15.75" customHeight="1">
      <c r="A55" s="149"/>
      <c r="B55" s="149"/>
      <c r="C55" s="150"/>
      <c r="D55" s="151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ht="15.75" customHeight="1">
      <c r="A56" s="149"/>
      <c r="B56" s="149"/>
      <c r="C56" s="150"/>
      <c r="D56" s="151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ht="15.75" customHeight="1">
      <c r="A57" s="149"/>
      <c r="B57" s="149"/>
      <c r="C57" s="150"/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ht="15.75" customHeight="1">
      <c r="A58" s="149"/>
      <c r="B58" s="149"/>
      <c r="C58" s="150"/>
      <c r="D58" s="151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ht="15.75" customHeight="1">
      <c r="A59" s="149"/>
      <c r="B59" s="149"/>
      <c r="C59" s="150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ht="15.75" customHeight="1">
      <c r="A60" s="149"/>
      <c r="B60" s="149"/>
      <c r="C60" s="150"/>
      <c r="D60" s="151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</row>
    <row r="761" ht="15.75" customHeight="1">
      <c r="A761" s="149"/>
      <c r="B761" s="149"/>
      <c r="C761" s="150"/>
      <c r="D761" s="151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</row>
    <row r="762" ht="15.75" customHeight="1">
      <c r="A762" s="153"/>
      <c r="B762" s="153"/>
      <c r="C762" s="154"/>
      <c r="D762" s="155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</row>
  </sheetData>
  <mergeCells count="12">
    <mergeCell ref="E20:H20"/>
    <mergeCell ref="E34:H34"/>
    <mergeCell ref="E1:H1"/>
    <mergeCell ref="I20:L20"/>
    <mergeCell ref="I34:L34"/>
    <mergeCell ref="I1:L1"/>
    <mergeCell ref="M20:P20"/>
    <mergeCell ref="M34:P34"/>
    <mergeCell ref="M1:P1"/>
    <mergeCell ref="Q20:T20"/>
    <mergeCell ref="Q34:T34"/>
    <mergeCell ref="Q1:T1"/>
  </mergeCells>
  <hyperlinks>
    <hyperlink ref="C8" r:id="rId1" location="" tooltip="" display="Video "/>
    <hyperlink ref="C11" r:id="rId2" location="" tooltip="" display="Video "/>
    <hyperlink ref="C25" r:id="rId3" location="" tooltip="" display="Video "/>
    <hyperlink ref="C38" r:id="rId4" location="" tooltip="" display="Video "/>
    <hyperlink ref="C39" r:id="rId5" location="" tooltip="" display="GIF 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761"/>
  <sheetViews>
    <sheetView workbookViewId="0" showGridLines="0" defaultGridColor="1">
      <pane topLeftCell="E3" xSplit="4" ySplit="2" activePane="bottomRight" state="frozen"/>
    </sheetView>
  </sheetViews>
  <sheetFormatPr defaultColWidth="12.6667" defaultRowHeight="13.45" customHeight="1" outlineLevelRow="0" outlineLevelCol="0"/>
  <cols>
    <col min="1" max="1" width="42.8516" style="248" customWidth="1"/>
    <col min="2" max="2" width="21.8516" style="248" customWidth="1"/>
    <col min="3" max="4" width="12.6719" style="248" customWidth="1"/>
    <col min="5" max="5" width="13.3125" style="248" customWidth="1"/>
    <col min="6" max="6" width="18.1797" style="248" customWidth="1"/>
    <col min="7" max="8" width="14.7031" style="248" customWidth="1"/>
    <col min="9" max="9" width="19.9141" style="248" customWidth="1"/>
    <col min="10" max="10" width="16.0625" style="248" customWidth="1"/>
    <col min="11" max="11" width="16.4531" style="248" customWidth="1"/>
    <col min="12" max="12" width="16.3281" style="248" customWidth="1"/>
    <col min="13" max="13" width="22.3516" style="248" customWidth="1"/>
    <col min="14" max="14" width="20.8516" style="248" customWidth="1"/>
    <col min="15" max="15" width="21.3516" style="248" customWidth="1"/>
    <col min="16" max="16" width="20" style="248" customWidth="1"/>
    <col min="17" max="20" width="17.1719" style="248" customWidth="1"/>
    <col min="21" max="16384" width="12.6719" style="248" customWidth="1"/>
  </cols>
  <sheetData>
    <row r="1" ht="19.5" customHeight="1">
      <c r="A1" s="2"/>
      <c r="B1" s="3"/>
      <c r="C1" s="3"/>
      <c r="D1" s="3"/>
      <c r="E1" t="s" s="4">
        <v>0</v>
      </c>
      <c r="F1" s="5"/>
      <c r="G1" s="5"/>
      <c r="H1" s="6"/>
      <c r="I1" t="s" s="4">
        <v>1</v>
      </c>
      <c r="J1" s="5"/>
      <c r="K1" s="5"/>
      <c r="L1" s="6"/>
      <c r="M1" t="s" s="4">
        <v>2</v>
      </c>
      <c r="N1" s="5"/>
      <c r="O1" s="5"/>
      <c r="P1" s="6"/>
      <c r="Q1" t="s" s="4">
        <v>3</v>
      </c>
      <c r="R1" s="5"/>
      <c r="S1" s="5"/>
      <c r="T1" s="6"/>
    </row>
    <row r="2" ht="19.5" customHeight="1">
      <c r="A2" t="s" s="7">
        <v>5</v>
      </c>
      <c r="B2" t="s" s="8">
        <v>6</v>
      </c>
      <c r="C2" t="s" s="8">
        <v>7</v>
      </c>
      <c r="D2" s="3"/>
      <c r="E2" t="s" s="4">
        <v>9</v>
      </c>
      <c r="F2" t="s" s="9">
        <v>10</v>
      </c>
      <c r="G2" t="s" s="9">
        <v>11</v>
      </c>
      <c r="H2" t="s" s="10">
        <v>12</v>
      </c>
      <c r="I2" t="s" s="4">
        <v>9</v>
      </c>
      <c r="J2" t="s" s="9">
        <v>10</v>
      </c>
      <c r="K2" t="s" s="9">
        <v>11</v>
      </c>
      <c r="L2" t="s" s="10">
        <v>12</v>
      </c>
      <c r="M2" t="s" s="4">
        <v>9</v>
      </c>
      <c r="N2" t="s" s="9">
        <v>10</v>
      </c>
      <c r="O2" t="s" s="9">
        <v>11</v>
      </c>
      <c r="P2" t="s" s="10">
        <v>12</v>
      </c>
      <c r="Q2" t="s" s="4">
        <v>9</v>
      </c>
      <c r="R2" t="s" s="9">
        <v>10</v>
      </c>
      <c r="S2" t="s" s="9">
        <v>11</v>
      </c>
      <c r="T2" t="s" s="10">
        <v>12</v>
      </c>
    </row>
    <row r="3" ht="19.5" customHeight="1">
      <c r="A3" t="s" s="7">
        <v>13</v>
      </c>
      <c r="B3" s="2"/>
      <c r="C3" s="2"/>
      <c r="D3" s="2"/>
      <c r="E3" s="91"/>
      <c r="F3" s="92"/>
      <c r="G3" s="93"/>
      <c r="H3" s="94"/>
      <c r="I3" s="91"/>
      <c r="J3" s="92"/>
      <c r="K3" s="93"/>
      <c r="L3" s="94"/>
      <c r="M3" s="91"/>
      <c r="N3" s="92"/>
      <c r="O3" s="93"/>
      <c r="P3" s="94"/>
      <c r="Q3" s="91"/>
      <c r="R3" s="92"/>
      <c r="S3" s="93"/>
      <c r="T3" s="94"/>
    </row>
    <row r="4" ht="19.5" customHeight="1">
      <c r="A4" t="s" s="17">
        <v>14</v>
      </c>
      <c r="B4" s="18"/>
      <c r="C4" s="19"/>
      <c r="D4" s="19"/>
      <c r="E4" s="205"/>
      <c r="F4" t="s" s="206">
        <v>221</v>
      </c>
      <c r="G4" s="86"/>
      <c r="H4" s="207"/>
      <c r="I4" s="205"/>
      <c r="J4" s="86"/>
      <c r="K4" s="86"/>
      <c r="L4" s="207"/>
      <c r="M4" s="205"/>
      <c r="N4" s="86"/>
      <c r="O4" s="86"/>
      <c r="P4" s="207"/>
      <c r="Q4" s="205"/>
      <c r="R4" s="86"/>
      <c r="S4" s="86"/>
      <c r="T4" s="207"/>
    </row>
    <row r="5" ht="67.45" customHeight="1">
      <c r="A5" t="s" s="24">
        <v>16</v>
      </c>
      <c r="B5" t="s" s="24">
        <v>17</v>
      </c>
      <c r="C5" t="s" s="25">
        <v>18</v>
      </c>
      <c r="D5" s="26"/>
      <c r="E5" s="27">
        <v>1</v>
      </c>
      <c r="F5" t="s" s="28">
        <v>19</v>
      </c>
      <c r="G5" s="29"/>
      <c r="H5" s="30"/>
      <c r="I5" s="27">
        <v>1</v>
      </c>
      <c r="J5" t="s" s="28">
        <v>19</v>
      </c>
      <c r="K5" s="29"/>
      <c r="L5" s="30"/>
      <c r="M5" s="27">
        <v>1</v>
      </c>
      <c r="N5" t="s" s="28">
        <v>19</v>
      </c>
      <c r="O5" s="29"/>
      <c r="P5" s="30"/>
      <c r="Q5" s="27">
        <v>1</v>
      </c>
      <c r="R5" t="s" s="28">
        <v>19</v>
      </c>
      <c r="S5" s="29"/>
      <c r="T5" s="30"/>
    </row>
    <row r="6" ht="206.6" customHeight="1">
      <c r="A6" t="s" s="31">
        <v>20</v>
      </c>
      <c r="B6" t="s" s="31">
        <v>17</v>
      </c>
      <c r="C6" t="s" s="32">
        <v>21</v>
      </c>
      <c r="D6" s="33"/>
      <c r="E6" s="27">
        <v>1</v>
      </c>
      <c r="F6" t="s" s="28">
        <v>19</v>
      </c>
      <c r="G6" s="29"/>
      <c r="H6" s="30"/>
      <c r="I6" s="27">
        <v>1</v>
      </c>
      <c r="J6" t="s" s="28">
        <v>19</v>
      </c>
      <c r="K6" s="29"/>
      <c r="L6" s="30"/>
      <c r="M6" s="27">
        <v>1</v>
      </c>
      <c r="N6" t="s" s="28">
        <v>19</v>
      </c>
      <c r="O6" s="29"/>
      <c r="P6" s="30"/>
      <c r="Q6" s="27">
        <v>1</v>
      </c>
      <c r="R6" t="s" s="28">
        <v>19</v>
      </c>
      <c r="S6" s="29"/>
      <c r="T6" s="30"/>
    </row>
    <row r="7" ht="97.85" customHeight="1">
      <c r="A7" t="s" s="208">
        <v>167</v>
      </c>
      <c r="B7" s="209"/>
      <c r="C7" t="s" s="32">
        <v>48</v>
      </c>
      <c r="D7" s="33"/>
      <c r="E7" s="27">
        <v>1</v>
      </c>
      <c r="F7" t="s" s="28">
        <v>168</v>
      </c>
      <c r="G7" s="29"/>
      <c r="H7" s="30"/>
      <c r="I7" s="27">
        <v>1</v>
      </c>
      <c r="J7" t="s" s="28">
        <v>168</v>
      </c>
      <c r="K7" s="29"/>
      <c r="L7" s="30"/>
      <c r="M7" s="27">
        <v>1</v>
      </c>
      <c r="N7" t="s" s="28">
        <v>168</v>
      </c>
      <c r="O7" t="s" s="28">
        <v>169</v>
      </c>
      <c r="P7" t="s" s="64">
        <v>169</v>
      </c>
      <c r="Q7" s="27">
        <v>1</v>
      </c>
      <c r="R7" t="s" s="28">
        <v>168</v>
      </c>
      <c r="S7" t="s" s="28">
        <v>169</v>
      </c>
      <c r="T7" t="s" s="64">
        <v>169</v>
      </c>
    </row>
    <row r="8" ht="97.85" customHeight="1">
      <c r="A8" t="s" s="210">
        <v>251</v>
      </c>
      <c r="B8" s="237"/>
      <c r="C8" s="212"/>
      <c r="D8" s="238"/>
      <c r="E8" s="213"/>
      <c r="F8" t="s" s="28">
        <v>222</v>
      </c>
      <c r="G8" s="29"/>
      <c r="H8" s="30"/>
      <c r="I8" s="213"/>
      <c r="J8" s="29"/>
      <c r="K8" s="29"/>
      <c r="L8" s="30"/>
      <c r="M8" s="213"/>
      <c r="N8" s="29"/>
      <c r="O8" s="29"/>
      <c r="P8" s="30"/>
      <c r="Q8" s="213"/>
      <c r="R8" s="29"/>
      <c r="S8" s="29"/>
      <c r="T8" s="30"/>
    </row>
    <row r="9" ht="71.2" customHeight="1">
      <c r="A9" t="s" s="136">
        <v>238</v>
      </c>
      <c r="B9" s="194"/>
      <c r="C9" s="138"/>
      <c r="D9" s="138"/>
      <c r="E9" s="27">
        <v>2</v>
      </c>
      <c r="F9" t="s" s="28">
        <v>255</v>
      </c>
      <c r="G9" s="29"/>
      <c r="H9" s="30"/>
      <c r="I9" s="27">
        <v>2</v>
      </c>
      <c r="J9" t="s" s="28">
        <v>255</v>
      </c>
      <c r="K9" s="29"/>
      <c r="L9" s="30"/>
      <c r="M9" s="27">
        <v>2</v>
      </c>
      <c r="N9" t="s" s="28">
        <v>256</v>
      </c>
      <c r="O9" s="29"/>
      <c r="P9" s="30"/>
      <c r="Q9" s="27">
        <v>6</v>
      </c>
      <c r="R9" t="s" s="28">
        <v>257</v>
      </c>
      <c r="S9" s="29"/>
      <c r="T9" s="30"/>
    </row>
    <row r="10" ht="62.05" customHeight="1">
      <c r="A10" t="s" s="139">
        <v>274</v>
      </c>
      <c r="B10" s="203"/>
      <c r="C10" s="142"/>
      <c r="D10" s="142"/>
      <c r="E10" s="27">
        <v>4</v>
      </c>
      <c r="F10" t="s" s="28">
        <v>259</v>
      </c>
      <c r="G10" s="29"/>
      <c r="H10" s="30"/>
      <c r="I10" s="27">
        <v>6</v>
      </c>
      <c r="J10" t="s" s="28">
        <v>260</v>
      </c>
      <c r="K10" s="29"/>
      <c r="L10" s="30"/>
      <c r="M10" s="27">
        <v>6</v>
      </c>
      <c r="N10" t="s" s="28">
        <v>261</v>
      </c>
      <c r="O10" s="29"/>
      <c r="P10" s="30"/>
      <c r="Q10" s="27">
        <v>6</v>
      </c>
      <c r="R10" t="s" s="28">
        <v>261</v>
      </c>
      <c r="S10" s="29"/>
      <c r="T10" s="30"/>
    </row>
    <row r="11" ht="62.05" customHeight="1">
      <c r="A11" t="s" s="54">
        <v>262</v>
      </c>
      <c r="B11" s="218"/>
      <c r="C11" s="55"/>
      <c r="D11" s="95"/>
      <c r="E11" s="213"/>
      <c r="F11" t="s" s="28">
        <v>222</v>
      </c>
      <c r="G11" s="29"/>
      <c r="H11" s="30"/>
      <c r="I11" s="213"/>
      <c r="J11" s="29"/>
      <c r="K11" s="29"/>
      <c r="L11" s="30"/>
      <c r="M11" s="213"/>
      <c r="N11" s="29"/>
      <c r="O11" s="29"/>
      <c r="P11" s="30"/>
      <c r="Q11" s="213"/>
      <c r="R11" s="29"/>
      <c r="S11" s="29"/>
      <c r="T11" s="30"/>
    </row>
    <row r="12" ht="40.8" customHeight="1">
      <c r="A12" t="s" s="136">
        <v>241</v>
      </c>
      <c r="B12" t="s" s="56">
        <v>275</v>
      </c>
      <c r="C12" s="138"/>
      <c r="D12" s="138"/>
      <c r="E12" s="27">
        <v>5</v>
      </c>
      <c r="F12" t="s" s="28">
        <v>227</v>
      </c>
      <c r="G12" s="29"/>
      <c r="H12" s="30"/>
      <c r="I12" s="27">
        <v>6</v>
      </c>
      <c r="J12" t="s" s="28">
        <v>227</v>
      </c>
      <c r="K12" s="29"/>
      <c r="L12" s="30"/>
      <c r="M12" s="27">
        <v>6</v>
      </c>
      <c r="N12" t="s" s="28">
        <v>263</v>
      </c>
      <c r="O12" s="29"/>
      <c r="P12" s="30"/>
      <c r="Q12" s="27">
        <v>6</v>
      </c>
      <c r="R12" t="s" s="28">
        <v>263</v>
      </c>
      <c r="S12" s="29"/>
      <c r="T12" s="30"/>
    </row>
    <row r="13" ht="59.1" customHeight="1">
      <c r="A13" t="s" s="140">
        <v>231</v>
      </c>
      <c r="B13" t="s" s="140">
        <v>264</v>
      </c>
      <c r="C13" t="s" s="182">
        <v>48</v>
      </c>
      <c r="D13" s="183"/>
      <c r="E13" s="27">
        <v>5</v>
      </c>
      <c r="F13" t="s" s="28">
        <v>265</v>
      </c>
      <c r="G13" s="29"/>
      <c r="H13" s="30"/>
      <c r="I13" s="27">
        <v>5</v>
      </c>
      <c r="J13" t="s" s="28">
        <v>265</v>
      </c>
      <c r="K13" s="29"/>
      <c r="L13" s="30"/>
      <c r="M13" s="27">
        <v>6</v>
      </c>
      <c r="N13" t="s" s="28">
        <v>265</v>
      </c>
      <c r="O13" s="29"/>
      <c r="P13" s="30"/>
      <c r="Q13" s="27">
        <v>6</v>
      </c>
      <c r="R13" t="s" s="28">
        <v>265</v>
      </c>
      <c r="S13" s="29"/>
      <c r="T13" s="30"/>
    </row>
    <row r="14" ht="59.1" customHeight="1">
      <c r="A14" t="s" s="54">
        <v>266</v>
      </c>
      <c r="B14" s="218"/>
      <c r="C14" s="55"/>
      <c r="D14" s="95"/>
      <c r="E14" s="213"/>
      <c r="F14" t="s" s="28">
        <v>222</v>
      </c>
      <c r="G14" s="29"/>
      <c r="H14" s="30"/>
      <c r="I14" s="213"/>
      <c r="J14" s="29"/>
      <c r="K14" s="29"/>
      <c r="L14" s="30"/>
      <c r="M14" s="213"/>
      <c r="N14" s="29"/>
      <c r="O14" s="29"/>
      <c r="P14" s="30"/>
      <c r="Q14" s="213"/>
      <c r="R14" s="29"/>
      <c r="S14" s="29"/>
      <c r="T14" s="30"/>
    </row>
    <row r="15" ht="62.05" customHeight="1">
      <c r="A15" t="s" s="239">
        <v>277</v>
      </c>
      <c r="B15" s="230"/>
      <c r="C15" t="s" s="240">
        <v>48</v>
      </c>
      <c r="D15" s="241"/>
      <c r="E15" s="27">
        <v>2</v>
      </c>
      <c r="F15" t="s" s="28">
        <v>278</v>
      </c>
      <c r="G15" s="29"/>
      <c r="H15" s="30"/>
      <c r="I15" s="27">
        <v>2</v>
      </c>
      <c r="J15" t="s" s="28">
        <v>279</v>
      </c>
      <c r="K15" s="29"/>
      <c r="L15" s="30"/>
      <c r="M15" s="27">
        <v>3</v>
      </c>
      <c r="N15" t="s" s="28">
        <v>278</v>
      </c>
      <c r="O15" s="29"/>
      <c r="P15" s="30"/>
      <c r="Q15" s="27">
        <v>2</v>
      </c>
      <c r="R15" t="s" s="28">
        <v>279</v>
      </c>
      <c r="S15" s="29"/>
      <c r="T15" s="30"/>
    </row>
    <row r="16" ht="62.05" customHeight="1">
      <c r="A16" t="s" s="233">
        <v>280</v>
      </c>
      <c r="B16" s="234"/>
      <c r="C16" s="236"/>
      <c r="D16" s="236"/>
      <c r="E16" s="27">
        <v>2</v>
      </c>
      <c r="F16" t="s" s="28">
        <v>281</v>
      </c>
      <c r="G16" s="29"/>
      <c r="H16" s="30"/>
      <c r="I16" s="27">
        <v>2</v>
      </c>
      <c r="J16" t="s" s="28">
        <v>281</v>
      </c>
      <c r="K16" s="29"/>
      <c r="L16" s="30"/>
      <c r="M16" s="27">
        <v>3</v>
      </c>
      <c r="N16" t="s" s="28">
        <v>281</v>
      </c>
      <c r="O16" s="29"/>
      <c r="P16" s="30"/>
      <c r="Q16" s="27">
        <v>2</v>
      </c>
      <c r="R16" t="s" s="28">
        <v>281</v>
      </c>
      <c r="S16" s="29"/>
      <c r="T16" s="30"/>
    </row>
    <row r="17" ht="32.05" customHeight="1">
      <c r="A17" t="s" s="17">
        <v>14</v>
      </c>
      <c r="B17" s="18"/>
      <c r="C17" s="19"/>
      <c r="D17" s="19"/>
      <c r="E17" s="213"/>
      <c r="F17" t="s" s="28">
        <v>221</v>
      </c>
      <c r="G17" s="29"/>
      <c r="H17" s="30"/>
      <c r="I17" s="213"/>
      <c r="J17" s="29"/>
      <c r="K17" s="29"/>
      <c r="L17" s="30"/>
      <c r="M17" s="213"/>
      <c r="N17" s="29"/>
      <c r="O17" s="29"/>
      <c r="P17" s="30"/>
      <c r="Q17" s="213"/>
      <c r="R17" s="29"/>
      <c r="S17" s="29"/>
      <c r="T17" s="30"/>
    </row>
    <row r="18" ht="39" customHeight="1">
      <c r="A18" t="s" s="214">
        <v>243</v>
      </c>
      <c r="B18" s="215"/>
      <c r="C18" s="216"/>
      <c r="D18" s="216"/>
      <c r="E18" s="213"/>
      <c r="F18" s="29"/>
      <c r="G18" s="29"/>
      <c r="H18" s="30"/>
      <c r="I18" s="213"/>
      <c r="J18" s="29"/>
      <c r="K18" s="29"/>
      <c r="L18" s="30"/>
      <c r="M18" s="213"/>
      <c r="N18" s="29"/>
      <c r="O18" s="29"/>
      <c r="P18" s="30"/>
      <c r="Q18" s="213"/>
      <c r="R18" s="29"/>
      <c r="S18" s="29"/>
      <c r="T18" s="30"/>
    </row>
    <row r="19" ht="19.5" customHeight="1">
      <c r="A19" s="12"/>
      <c r="B19" s="12"/>
      <c r="C19" s="13"/>
      <c r="D19" s="13"/>
      <c r="E19" s="184"/>
      <c r="F19" s="83"/>
      <c r="G19" s="83"/>
      <c r="H19" s="84"/>
      <c r="I19" s="184"/>
      <c r="J19" s="83"/>
      <c r="K19" s="83"/>
      <c r="L19" s="84"/>
      <c r="M19" s="184"/>
      <c r="N19" s="83"/>
      <c r="O19" s="83"/>
      <c r="P19" s="84"/>
      <c r="Q19" s="184"/>
      <c r="R19" s="83"/>
      <c r="S19" s="83"/>
      <c r="T19" s="84"/>
    </row>
    <row r="20" ht="19.5" customHeight="1">
      <c r="A20" s="145"/>
      <c r="B20" s="145"/>
      <c r="C20" s="146"/>
      <c r="D20" s="147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</row>
    <row r="21" ht="19.5" customHeight="1">
      <c r="A21" s="149"/>
      <c r="B21" s="149"/>
      <c r="C21" s="150"/>
      <c r="D21" s="151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</row>
    <row r="22" ht="19.5" customHeight="1">
      <c r="A22" s="249"/>
      <c r="B22" s="249"/>
      <c r="C22" s="250"/>
      <c r="D22" s="251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</row>
    <row r="23" ht="26" customHeight="1">
      <c r="A23" t="s" s="11">
        <v>307</v>
      </c>
      <c r="B23" s="12"/>
      <c r="C23" s="13"/>
      <c r="D23" s="13"/>
      <c r="E23" s="184"/>
      <c r="F23" s="83"/>
      <c r="G23" s="83"/>
      <c r="H23" s="84"/>
      <c r="I23" s="184"/>
      <c r="J23" s="83"/>
      <c r="K23" s="83"/>
      <c r="L23" s="84"/>
      <c r="M23" s="184"/>
      <c r="N23" s="83"/>
      <c r="O23" s="83"/>
      <c r="P23" s="84"/>
      <c r="Q23" s="184"/>
      <c r="R23" s="83"/>
      <c r="S23" s="83"/>
      <c r="T23" s="84"/>
    </row>
    <row r="24" ht="68.35" customHeight="1">
      <c r="A24" t="s" s="17">
        <v>14</v>
      </c>
      <c r="B24" s="18"/>
      <c r="C24" s="19"/>
      <c r="D24" s="19"/>
      <c r="E24" s="205"/>
      <c r="F24" t="s" s="206">
        <v>221</v>
      </c>
      <c r="G24" s="86"/>
      <c r="H24" s="207"/>
      <c r="I24" s="205"/>
      <c r="J24" s="86"/>
      <c r="K24" s="86"/>
      <c r="L24" s="207"/>
      <c r="M24" s="205"/>
      <c r="N24" s="86"/>
      <c r="O24" s="86"/>
      <c r="P24" s="207"/>
      <c r="Q24" s="205"/>
      <c r="R24" s="86"/>
      <c r="S24" s="86"/>
      <c r="T24" s="207"/>
    </row>
    <row r="25" ht="65.75" customHeight="1">
      <c r="A25" t="s" s="24">
        <v>250</v>
      </c>
      <c r="B25" s="252"/>
      <c r="C25" s="26"/>
      <c r="D25" s="26"/>
      <c r="E25" s="27">
        <v>1</v>
      </c>
      <c r="F25" t="s" s="28">
        <v>105</v>
      </c>
      <c r="G25" s="29"/>
      <c r="H25" s="30"/>
      <c r="I25" s="27">
        <v>1</v>
      </c>
      <c r="J25" t="s" s="28">
        <v>105</v>
      </c>
      <c r="K25" s="29"/>
      <c r="L25" s="30"/>
      <c r="M25" s="27">
        <v>1</v>
      </c>
      <c r="N25" t="s" s="28">
        <v>105</v>
      </c>
      <c r="O25" s="29"/>
      <c r="P25" s="30"/>
      <c r="Q25" s="27">
        <v>1</v>
      </c>
      <c r="R25" t="s" s="28">
        <v>105</v>
      </c>
      <c r="S25" s="29"/>
      <c r="T25" s="30"/>
    </row>
    <row r="26" ht="82.7" customHeight="1">
      <c r="A26" t="s" s="31">
        <v>16</v>
      </c>
      <c r="B26" t="s" s="31">
        <v>17</v>
      </c>
      <c r="C26" t="s" s="32">
        <v>18</v>
      </c>
      <c r="D26" s="33"/>
      <c r="E26" s="27">
        <v>1</v>
      </c>
      <c r="F26" t="s" s="28">
        <v>19</v>
      </c>
      <c r="G26" s="29"/>
      <c r="H26" s="30"/>
      <c r="I26" s="27">
        <v>1</v>
      </c>
      <c r="J26" t="s" s="28">
        <v>19</v>
      </c>
      <c r="K26" s="29"/>
      <c r="L26" s="30"/>
      <c r="M26" s="27">
        <v>1</v>
      </c>
      <c r="N26" t="s" s="28">
        <v>19</v>
      </c>
      <c r="O26" s="29"/>
      <c r="P26" s="30"/>
      <c r="Q26" s="27">
        <v>1</v>
      </c>
      <c r="R26" t="s" s="28">
        <v>19</v>
      </c>
      <c r="S26" s="29"/>
      <c r="T26" s="30"/>
    </row>
    <row r="27" ht="171.35" customHeight="1">
      <c r="A27" t="s" s="36">
        <v>20</v>
      </c>
      <c r="B27" t="s" s="36">
        <v>17</v>
      </c>
      <c r="C27" t="s" s="37">
        <v>21</v>
      </c>
      <c r="D27" s="134"/>
      <c r="E27" s="27">
        <v>1</v>
      </c>
      <c r="F27" t="s" s="28">
        <v>19</v>
      </c>
      <c r="G27" s="29"/>
      <c r="H27" s="30"/>
      <c r="I27" s="27">
        <v>1</v>
      </c>
      <c r="J27" t="s" s="28">
        <v>19</v>
      </c>
      <c r="K27" s="29"/>
      <c r="L27" s="30"/>
      <c r="M27" s="27">
        <v>1</v>
      </c>
      <c r="N27" t="s" s="28">
        <v>19</v>
      </c>
      <c r="O27" s="29"/>
      <c r="P27" s="30"/>
      <c r="Q27" s="27">
        <v>1</v>
      </c>
      <c r="R27" t="s" s="28">
        <v>19</v>
      </c>
      <c r="S27" s="29"/>
      <c r="T27" s="30"/>
    </row>
    <row r="28" ht="83.9" customHeight="1">
      <c r="A28" t="s" s="54">
        <v>251</v>
      </c>
      <c r="B28" s="18"/>
      <c r="C28" s="55"/>
      <c r="D28" s="55"/>
      <c r="E28" s="213"/>
      <c r="F28" t="s" s="28">
        <v>222</v>
      </c>
      <c r="G28" s="29"/>
      <c r="H28" s="30"/>
      <c r="I28" s="213"/>
      <c r="J28" t="s" s="28">
        <v>222</v>
      </c>
      <c r="K28" s="29"/>
      <c r="L28" s="30"/>
      <c r="M28" s="213"/>
      <c r="N28" t="s" s="28">
        <v>222</v>
      </c>
      <c r="O28" s="29"/>
      <c r="P28" s="30"/>
      <c r="Q28" s="213"/>
      <c r="R28" t="s" s="28">
        <v>222</v>
      </c>
      <c r="S28" s="29"/>
      <c r="T28" s="30"/>
    </row>
    <row r="29" ht="90.4" customHeight="1">
      <c r="A29" t="s" s="136">
        <v>308</v>
      </c>
      <c r="B29" t="s" s="56">
        <v>309</v>
      </c>
      <c r="C29" s="138"/>
      <c r="D29" s="138"/>
      <c r="E29" s="27">
        <v>4</v>
      </c>
      <c r="F29" t="s" s="28">
        <v>310</v>
      </c>
      <c r="G29" s="47" cm="1">
        <f t="array" ref="G29">$D29*(1.0278-0.0278*20)</f>
        <v>0</v>
      </c>
      <c r="H29" s="48" cm="1">
        <f t="array" ref="H29">$D29*(1.0278-0.0278*20)</f>
        <v>0</v>
      </c>
      <c r="I29" s="27">
        <v>4</v>
      </c>
      <c r="J29" t="s" s="28">
        <v>310</v>
      </c>
      <c r="K29" s="29"/>
      <c r="L29" s="30"/>
      <c r="M29" s="27">
        <v>4</v>
      </c>
      <c r="N29" t="s" s="28">
        <v>310</v>
      </c>
      <c r="O29" s="29"/>
      <c r="P29" s="30"/>
      <c r="Q29" s="27">
        <v>4</v>
      </c>
      <c r="R29" t="s" s="28">
        <v>310</v>
      </c>
      <c r="S29" s="29"/>
      <c r="T29" s="30"/>
    </row>
    <row r="30" ht="54.35" customHeight="1">
      <c r="A30" t="s" s="139">
        <v>311</v>
      </c>
      <c r="B30" t="s" s="140">
        <v>312</v>
      </c>
      <c r="C30" t="s" s="141">
        <v>48</v>
      </c>
      <c r="D30" s="142"/>
      <c r="E30" s="27">
        <v>4</v>
      </c>
      <c r="F30" s="47">
        <v>6</v>
      </c>
      <c r="G30" s="29"/>
      <c r="H30" s="30"/>
      <c r="I30" s="27">
        <v>4</v>
      </c>
      <c r="J30" s="47">
        <v>6</v>
      </c>
      <c r="K30" s="29"/>
      <c r="L30" s="30"/>
      <c r="M30" s="27">
        <v>4</v>
      </c>
      <c r="N30" s="47">
        <v>6</v>
      </c>
      <c r="O30" s="29"/>
      <c r="P30" s="30"/>
      <c r="Q30" s="27">
        <v>4</v>
      </c>
      <c r="R30" s="47">
        <v>6</v>
      </c>
      <c r="S30" s="29"/>
      <c r="T30" s="30"/>
    </row>
    <row r="31" ht="85.1" customHeight="1">
      <c r="A31" t="s" s="54">
        <v>262</v>
      </c>
      <c r="B31" s="18"/>
      <c r="C31" s="55"/>
      <c r="D31" s="55"/>
      <c r="E31" s="213"/>
      <c r="F31" t="s" s="28">
        <v>222</v>
      </c>
      <c r="G31" s="29"/>
      <c r="H31" s="30"/>
      <c r="I31" s="213"/>
      <c r="J31" t="s" s="28">
        <v>222</v>
      </c>
      <c r="K31" s="29"/>
      <c r="L31" s="30"/>
      <c r="M31" s="213"/>
      <c r="N31" t="s" s="28">
        <v>222</v>
      </c>
      <c r="O31" s="29"/>
      <c r="P31" s="30"/>
      <c r="Q31" s="213"/>
      <c r="R31" t="s" s="28">
        <v>222</v>
      </c>
      <c r="S31" s="29"/>
      <c r="T31" s="30"/>
    </row>
    <row r="32" ht="56.35" customHeight="1">
      <c r="A32" t="s" s="136">
        <v>228</v>
      </c>
      <c r="B32" t="s" s="56">
        <v>229</v>
      </c>
      <c r="C32" s="138"/>
      <c r="D32" s="138"/>
      <c r="E32" s="27">
        <v>5</v>
      </c>
      <c r="F32" t="s" s="28">
        <v>227</v>
      </c>
      <c r="G32" s="29"/>
      <c r="H32" s="30"/>
      <c r="I32" s="27">
        <v>5</v>
      </c>
      <c r="J32" t="s" s="28">
        <v>227</v>
      </c>
      <c r="K32" s="29"/>
      <c r="L32" s="30"/>
      <c r="M32" s="27">
        <v>5</v>
      </c>
      <c r="N32" t="s" s="28">
        <v>227</v>
      </c>
      <c r="O32" s="29"/>
      <c r="P32" s="30"/>
      <c r="Q32" s="27">
        <v>5</v>
      </c>
      <c r="R32" t="s" s="28">
        <v>227</v>
      </c>
      <c r="S32" s="29"/>
      <c r="T32" s="30"/>
    </row>
    <row r="33" ht="56.35" customHeight="1">
      <c r="A33" t="s" s="140">
        <v>313</v>
      </c>
      <c r="B33" t="s" s="140">
        <v>314</v>
      </c>
      <c r="C33" t="s" s="182">
        <v>48</v>
      </c>
      <c r="D33" s="183"/>
      <c r="E33" s="27">
        <v>3</v>
      </c>
      <c r="F33" s="29"/>
      <c r="G33" s="29"/>
      <c r="H33" s="30"/>
      <c r="I33" s="27">
        <v>5</v>
      </c>
      <c r="J33" s="29"/>
      <c r="K33" s="29"/>
      <c r="L33" s="30"/>
      <c r="M33" s="27">
        <v>5</v>
      </c>
      <c r="N33" s="29"/>
      <c r="O33" s="29"/>
      <c r="P33" s="30"/>
      <c r="Q33" s="27">
        <v>5</v>
      </c>
      <c r="R33" s="29"/>
      <c r="S33" s="29"/>
      <c r="T33" s="30"/>
    </row>
    <row r="34" ht="37.5" customHeight="1">
      <c r="A34" t="s" s="17">
        <v>14</v>
      </c>
      <c r="B34" s="18"/>
      <c r="C34" s="19"/>
      <c r="D34" s="19"/>
      <c r="E34" s="213"/>
      <c r="F34" t="s" s="28">
        <v>221</v>
      </c>
      <c r="G34" s="29"/>
      <c r="H34" s="30"/>
      <c r="I34" s="213"/>
      <c r="J34" s="29"/>
      <c r="K34" s="29"/>
      <c r="L34" s="30"/>
      <c r="M34" s="213"/>
      <c r="N34" s="29"/>
      <c r="O34" s="29"/>
      <c r="P34" s="30"/>
      <c r="Q34" s="213"/>
      <c r="R34" s="29"/>
      <c r="S34" s="29"/>
      <c r="T34" s="30"/>
    </row>
    <row r="35" ht="37.5" customHeight="1">
      <c r="A35" t="s" s="214">
        <v>273</v>
      </c>
      <c r="B35" s="215"/>
      <c r="C35" s="216"/>
      <c r="D35" s="216"/>
      <c r="E35" s="213"/>
      <c r="F35" s="29"/>
      <c r="G35" s="29"/>
      <c r="H35" s="30"/>
      <c r="I35" s="213"/>
      <c r="J35" s="29"/>
      <c r="K35" s="29"/>
      <c r="L35" s="30"/>
      <c r="M35" s="213"/>
      <c r="N35" s="29"/>
      <c r="O35" s="29"/>
      <c r="P35" s="30"/>
      <c r="Q35" s="213"/>
      <c r="R35" s="29"/>
      <c r="S35" s="29"/>
      <c r="T35" s="30"/>
    </row>
    <row r="36" ht="37.2" customHeight="1">
      <c r="A36" s="12"/>
      <c r="B36" s="12"/>
      <c r="C36" s="13"/>
      <c r="D36" s="13"/>
      <c r="E36" s="184"/>
      <c r="F36" s="83"/>
      <c r="G36" s="83"/>
      <c r="H36" s="84"/>
      <c r="I36" s="184"/>
      <c r="J36" s="83"/>
      <c r="K36" s="83"/>
      <c r="L36" s="84"/>
      <c r="M36" s="184"/>
      <c r="N36" s="83"/>
      <c r="O36" s="83"/>
      <c r="P36" s="84"/>
      <c r="Q36" s="184"/>
      <c r="R36" s="83"/>
      <c r="S36" s="83"/>
      <c r="T36" s="84"/>
    </row>
    <row r="37" ht="101.45" customHeight="1">
      <c r="A37" s="145"/>
      <c r="B37" s="145"/>
      <c r="C37" s="146"/>
      <c r="D37" s="147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</row>
    <row r="38" ht="81.3" customHeight="1">
      <c r="A38" s="149"/>
      <c r="B38" s="149"/>
      <c r="C38" s="150"/>
      <c r="D38" s="151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</row>
    <row r="39" ht="84.05" customHeight="1">
      <c r="A39" s="149"/>
      <c r="B39" s="149"/>
      <c r="C39" s="150"/>
      <c r="D39" s="151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</row>
    <row r="40" ht="17.9" customHeight="1">
      <c r="A40" s="149"/>
      <c r="B40" s="149"/>
      <c r="C40" s="150"/>
      <c r="D40" s="151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ht="37.5" customHeight="1">
      <c r="A41" s="149"/>
      <c r="B41" s="149"/>
      <c r="C41" s="150"/>
      <c r="D41" s="151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</row>
    <row r="42" ht="15.75" customHeight="1">
      <c r="A42" s="149"/>
      <c r="B42" s="149"/>
      <c r="C42" s="150"/>
      <c r="D42" s="151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</row>
    <row r="43" ht="15.75" customHeight="1">
      <c r="A43" s="149"/>
      <c r="B43" s="149"/>
      <c r="C43" s="150"/>
      <c r="D43" s="151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</row>
    <row r="44" ht="15.75" customHeight="1">
      <c r="A44" s="149"/>
      <c r="B44" s="149"/>
      <c r="C44" s="150"/>
      <c r="D44" s="151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</row>
    <row r="45" ht="15.75" customHeight="1">
      <c r="A45" s="149"/>
      <c r="B45" s="149"/>
      <c r="C45" s="150"/>
      <c r="D45" s="151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</row>
    <row r="46" ht="15.75" customHeight="1">
      <c r="A46" s="149"/>
      <c r="B46" s="149"/>
      <c r="C46" s="150"/>
      <c r="D46" s="151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</row>
    <row r="47" ht="15.75" customHeight="1">
      <c r="A47" s="149"/>
      <c r="B47" s="149"/>
      <c r="C47" s="150"/>
      <c r="D47" s="151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</row>
    <row r="48" ht="15.75" customHeight="1">
      <c r="A48" s="149"/>
      <c r="B48" s="149"/>
      <c r="C48" s="150"/>
      <c r="D48" s="151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</row>
    <row r="49" ht="15.75" customHeight="1">
      <c r="A49" s="149"/>
      <c r="B49" s="149"/>
      <c r="C49" s="150"/>
      <c r="D49" s="151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</row>
    <row r="50" ht="15.75" customHeight="1">
      <c r="A50" s="149"/>
      <c r="B50" s="149"/>
      <c r="C50" s="150"/>
      <c r="D50" s="151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ht="15.75" customHeight="1">
      <c r="A51" s="149"/>
      <c r="B51" s="149"/>
      <c r="C51" s="150"/>
      <c r="D51" s="151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ht="15.75" customHeight="1">
      <c r="A52" s="149"/>
      <c r="B52" s="149"/>
      <c r="C52" s="150"/>
      <c r="D52" s="151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ht="15.75" customHeight="1">
      <c r="A53" s="149"/>
      <c r="B53" s="149"/>
      <c r="C53" s="150"/>
      <c r="D53" s="151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ht="15.75" customHeight="1">
      <c r="A54" s="149"/>
      <c r="B54" s="149"/>
      <c r="C54" s="150"/>
      <c r="D54" s="151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ht="15.75" customHeight="1">
      <c r="A55" s="149"/>
      <c r="B55" s="149"/>
      <c r="C55" s="150"/>
      <c r="D55" s="151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ht="15.75" customHeight="1">
      <c r="A56" s="149"/>
      <c r="B56" s="149"/>
      <c r="C56" s="150"/>
      <c r="D56" s="151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ht="15.75" customHeight="1">
      <c r="A57" s="149"/>
      <c r="B57" s="149"/>
      <c r="C57" s="150"/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ht="15.75" customHeight="1">
      <c r="A58" s="149"/>
      <c r="B58" s="149"/>
      <c r="C58" s="150"/>
      <c r="D58" s="151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ht="15.75" customHeight="1">
      <c r="A59" s="149"/>
      <c r="B59" s="149"/>
      <c r="C59" s="150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ht="15.75" customHeight="1">
      <c r="A60" s="149"/>
      <c r="B60" s="149"/>
      <c r="C60" s="150"/>
      <c r="D60" s="151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ht="15.75" customHeight="1">
      <c r="A61" s="149"/>
      <c r="B61" s="149"/>
      <c r="C61" s="150"/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  <row r="62" ht="15.75" customHeight="1">
      <c r="A62" s="149"/>
      <c r="B62" s="149"/>
      <c r="C62" s="150"/>
      <c r="D62" s="151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</row>
    <row r="63" ht="15.75" customHeight="1">
      <c r="A63" s="149"/>
      <c r="B63" s="149"/>
      <c r="C63" s="150"/>
      <c r="D63" s="15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</row>
    <row r="64" ht="15.75" customHeight="1">
      <c r="A64" s="149"/>
      <c r="B64" s="149"/>
      <c r="C64" s="150"/>
      <c r="D64" s="151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</row>
    <row r="65" ht="15.75" customHeight="1">
      <c r="A65" s="149"/>
      <c r="B65" s="149"/>
      <c r="C65" s="150"/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</row>
    <row r="66" ht="15.75" customHeight="1">
      <c r="A66" s="149"/>
      <c r="B66" s="149"/>
      <c r="C66" s="150"/>
      <c r="D66" s="151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</row>
    <row r="67" ht="15.75" customHeight="1">
      <c r="A67" s="149"/>
      <c r="B67" s="149"/>
      <c r="C67" s="150"/>
      <c r="D67" s="151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</row>
    <row r="68" ht="15.75" customHeight="1">
      <c r="A68" s="149"/>
      <c r="B68" s="149"/>
      <c r="C68" s="150"/>
      <c r="D68" s="151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</row>
    <row r="69" ht="15.75" customHeight="1">
      <c r="A69" s="149"/>
      <c r="B69" s="149"/>
      <c r="C69" s="150"/>
      <c r="D69" s="151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</row>
    <row r="70" ht="15.75" customHeight="1">
      <c r="A70" s="149"/>
      <c r="B70" s="149"/>
      <c r="C70" s="150"/>
      <c r="D70" s="151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</row>
    <row r="71" ht="15.75" customHeight="1">
      <c r="A71" s="149"/>
      <c r="B71" s="149"/>
      <c r="C71" s="150"/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</row>
    <row r="72" ht="15.75" customHeight="1">
      <c r="A72" s="149"/>
      <c r="B72" s="149"/>
      <c r="C72" s="150"/>
      <c r="D72" s="151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</row>
    <row r="73" ht="15.75" customHeight="1">
      <c r="A73" s="149"/>
      <c r="B73" s="149"/>
      <c r="C73" s="150"/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</row>
    <row r="74" ht="15.75" customHeight="1">
      <c r="A74" s="149"/>
      <c r="B74" s="149"/>
      <c r="C74" s="150"/>
      <c r="D74" s="151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</row>
    <row r="75" ht="15.75" customHeight="1">
      <c r="A75" s="149"/>
      <c r="B75" s="149"/>
      <c r="C75" s="150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</row>
    <row r="76" ht="15.75" customHeight="1">
      <c r="A76" s="149"/>
      <c r="B76" s="149"/>
      <c r="C76" s="150"/>
      <c r="D76" s="151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</row>
    <row r="77" ht="15.75" customHeight="1">
      <c r="A77" s="149"/>
      <c r="B77" s="149"/>
      <c r="C77" s="150"/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</row>
    <row r="78" ht="15.75" customHeight="1">
      <c r="A78" s="149"/>
      <c r="B78" s="149"/>
      <c r="C78" s="150"/>
      <c r="D78" s="15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</row>
    <row r="79" ht="15.75" customHeight="1">
      <c r="A79" s="149"/>
      <c r="B79" s="149"/>
      <c r="C79" s="150"/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</row>
    <row r="80" ht="15.75" customHeight="1">
      <c r="A80" s="149"/>
      <c r="B80" s="149"/>
      <c r="C80" s="150"/>
      <c r="D80" s="151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</row>
    <row r="81" ht="15.75" customHeight="1">
      <c r="A81" s="149"/>
      <c r="B81" s="149"/>
      <c r="C81" s="150"/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</row>
    <row r="82" ht="15.75" customHeight="1">
      <c r="A82" s="149"/>
      <c r="B82" s="149"/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</row>
    <row r="83" ht="15.75" customHeight="1">
      <c r="A83" s="149"/>
      <c r="B83" s="149"/>
      <c r="C83" s="150"/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</row>
    <row r="84" ht="15.75" customHeight="1">
      <c r="A84" s="149"/>
      <c r="B84" s="149"/>
      <c r="C84" s="150"/>
      <c r="D84" s="151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</row>
    <row r="85" ht="15.75" customHeight="1">
      <c r="A85" s="149"/>
      <c r="B85" s="149"/>
      <c r="C85" s="150"/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</row>
    <row r="86" ht="15.75" customHeight="1">
      <c r="A86" s="149"/>
      <c r="B86" s="149"/>
      <c r="C86" s="150"/>
      <c r="D86" s="151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</row>
    <row r="87" ht="15.75" customHeight="1">
      <c r="A87" s="149"/>
      <c r="B87" s="149"/>
      <c r="C87" s="150"/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</row>
    <row r="88" ht="15.75" customHeight="1">
      <c r="A88" s="149"/>
      <c r="B88" s="149"/>
      <c r="C88" s="150"/>
      <c r="D88" s="151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</row>
    <row r="89" ht="15.75" customHeight="1">
      <c r="A89" s="149"/>
      <c r="B89" s="149"/>
      <c r="C89" s="150"/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</row>
    <row r="90" ht="15.75" customHeight="1">
      <c r="A90" s="149"/>
      <c r="B90" s="149"/>
      <c r="C90" s="150"/>
      <c r="D90" s="151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</row>
    <row r="91" ht="15.75" customHeight="1">
      <c r="A91" s="149"/>
      <c r="B91" s="149"/>
      <c r="C91" s="150"/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</row>
    <row r="92" ht="15.75" customHeight="1">
      <c r="A92" s="149"/>
      <c r="B92" s="149"/>
      <c r="C92" s="150"/>
      <c r="D92" s="151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</row>
    <row r="93" ht="15.75" customHeight="1">
      <c r="A93" s="149"/>
      <c r="B93" s="149"/>
      <c r="C93" s="150"/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</row>
    <row r="94" ht="15.75" customHeight="1">
      <c r="A94" s="149"/>
      <c r="B94" s="149"/>
      <c r="C94" s="150"/>
      <c r="D94" s="15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</row>
    <row r="95" ht="15.75" customHeight="1">
      <c r="A95" s="149"/>
      <c r="B95" s="149"/>
      <c r="C95" s="150"/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</row>
    <row r="96" ht="15.75" customHeight="1">
      <c r="A96" s="149"/>
      <c r="B96" s="149"/>
      <c r="C96" s="150"/>
      <c r="D96" s="15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</row>
    <row r="97" ht="15.75" customHeight="1">
      <c r="A97" s="149"/>
      <c r="B97" s="149"/>
      <c r="C97" s="150"/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</row>
    <row r="98" ht="15.75" customHeight="1">
      <c r="A98" s="149"/>
      <c r="B98" s="149"/>
      <c r="C98" s="150"/>
      <c r="D98" s="151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</row>
    <row r="99" ht="15.75" customHeight="1">
      <c r="A99" s="149"/>
      <c r="B99" s="149"/>
      <c r="C99" s="150"/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</row>
    <row r="100" ht="15.75" customHeight="1">
      <c r="A100" s="149"/>
      <c r="B100" s="149"/>
      <c r="C100" s="150"/>
      <c r="D100" s="151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</row>
    <row r="101" ht="15.75" customHeight="1">
      <c r="A101" s="149"/>
      <c r="B101" s="149"/>
      <c r="C101" s="150"/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</row>
    <row r="102" ht="15.75" customHeight="1">
      <c r="A102" s="149"/>
      <c r="B102" s="149"/>
      <c r="C102" s="150"/>
      <c r="D102" s="151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</row>
    <row r="103" ht="15.75" customHeight="1">
      <c r="A103" s="149"/>
      <c r="B103" s="149"/>
      <c r="C103" s="150"/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</row>
    <row r="104" ht="15.75" customHeight="1">
      <c r="A104" s="149"/>
      <c r="B104" s="149"/>
      <c r="C104" s="150"/>
      <c r="D104" s="151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</row>
    <row r="105" ht="15.75" customHeight="1">
      <c r="A105" s="149"/>
      <c r="B105" s="149"/>
      <c r="C105" s="150"/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</row>
    <row r="106" ht="15.75" customHeight="1">
      <c r="A106" s="149"/>
      <c r="B106" s="149"/>
      <c r="C106" s="150"/>
      <c r="D106" s="151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</row>
    <row r="107" ht="15.75" customHeight="1">
      <c r="A107" s="149"/>
      <c r="B107" s="149"/>
      <c r="C107" s="150"/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</row>
    <row r="108" ht="15.75" customHeight="1">
      <c r="A108" s="149"/>
      <c r="B108" s="149"/>
      <c r="C108" s="150"/>
      <c r="D108" s="151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</row>
    <row r="109" ht="15.75" customHeight="1">
      <c r="A109" s="149"/>
      <c r="B109" s="149"/>
      <c r="C109" s="150"/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</row>
    <row r="110" ht="15.75" customHeight="1">
      <c r="A110" s="149"/>
      <c r="B110" s="149"/>
      <c r="C110" s="150"/>
      <c r="D110" s="151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</row>
    <row r="111" ht="15.75" customHeight="1">
      <c r="A111" s="149"/>
      <c r="B111" s="149"/>
      <c r="C111" s="150"/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</row>
    <row r="112" ht="15.75" customHeight="1">
      <c r="A112" s="149"/>
      <c r="B112" s="149"/>
      <c r="C112" s="150"/>
      <c r="D112" s="151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</row>
    <row r="113" ht="15.75" customHeight="1">
      <c r="A113" s="149"/>
      <c r="B113" s="149"/>
      <c r="C113" s="150"/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</row>
    <row r="114" ht="15.75" customHeight="1">
      <c r="A114" s="149"/>
      <c r="B114" s="149"/>
      <c r="C114" s="150"/>
      <c r="D114" s="151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</row>
    <row r="115" ht="15.75" customHeight="1">
      <c r="A115" s="149"/>
      <c r="B115" s="149"/>
      <c r="C115" s="150"/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</row>
    <row r="116" ht="15.75" customHeight="1">
      <c r="A116" s="149"/>
      <c r="B116" s="149"/>
      <c r="C116" s="150"/>
      <c r="D116" s="151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</row>
    <row r="117" ht="15.75" customHeight="1">
      <c r="A117" s="149"/>
      <c r="B117" s="149"/>
      <c r="C117" s="150"/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</row>
    <row r="118" ht="15.75" customHeight="1">
      <c r="A118" s="149"/>
      <c r="B118" s="149"/>
      <c r="C118" s="150"/>
      <c r="D118" s="151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</row>
    <row r="119" ht="15.75" customHeight="1">
      <c r="A119" s="149"/>
      <c r="B119" s="149"/>
      <c r="C119" s="150"/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</row>
    <row r="120" ht="15.75" customHeight="1">
      <c r="A120" s="149"/>
      <c r="B120" s="149"/>
      <c r="C120" s="150"/>
      <c r="D120" s="151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</row>
    <row r="121" ht="15.75" customHeight="1">
      <c r="A121" s="149"/>
      <c r="B121" s="149"/>
      <c r="C121" s="150"/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</row>
    <row r="122" ht="15.75" customHeight="1">
      <c r="A122" s="149"/>
      <c r="B122" s="149"/>
      <c r="C122" s="150"/>
      <c r="D122" s="151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</row>
    <row r="123" ht="15.75" customHeight="1">
      <c r="A123" s="149"/>
      <c r="B123" s="149"/>
      <c r="C123" s="150"/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</row>
    <row r="124" ht="15.75" customHeight="1">
      <c r="A124" s="149"/>
      <c r="B124" s="149"/>
      <c r="C124" s="150"/>
      <c r="D124" s="151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</row>
    <row r="125" ht="15.75" customHeight="1">
      <c r="A125" s="149"/>
      <c r="B125" s="149"/>
      <c r="C125" s="150"/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</row>
    <row r="126" ht="15.75" customHeight="1">
      <c r="A126" s="149"/>
      <c r="B126" s="149"/>
      <c r="C126" s="150"/>
      <c r="D126" s="151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</row>
    <row r="127" ht="15.75" customHeight="1">
      <c r="A127" s="149"/>
      <c r="B127" s="149"/>
      <c r="C127" s="150"/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</row>
    <row r="128" ht="15.75" customHeight="1">
      <c r="A128" s="149"/>
      <c r="B128" s="149"/>
      <c r="C128" s="150"/>
      <c r="D128" s="151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</row>
    <row r="129" ht="15.75" customHeight="1">
      <c r="A129" s="149"/>
      <c r="B129" s="149"/>
      <c r="C129" s="150"/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</row>
    <row r="130" ht="15.75" customHeight="1">
      <c r="A130" s="149"/>
      <c r="B130" s="149"/>
      <c r="C130" s="150"/>
      <c r="D130" s="151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</row>
    <row r="131" ht="15.75" customHeight="1">
      <c r="A131" s="149"/>
      <c r="B131" s="149"/>
      <c r="C131" s="150"/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</row>
    <row r="132" ht="15.75" customHeight="1">
      <c r="A132" s="149"/>
      <c r="B132" s="149"/>
      <c r="C132" s="150"/>
      <c r="D132" s="151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</row>
    <row r="133" ht="15.75" customHeight="1">
      <c r="A133" s="149"/>
      <c r="B133" s="149"/>
      <c r="C133" s="150"/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</row>
    <row r="134" ht="15.75" customHeight="1">
      <c r="A134" s="149"/>
      <c r="B134" s="149"/>
      <c r="C134" s="150"/>
      <c r="D134" s="151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</row>
    <row r="135" ht="15.75" customHeight="1">
      <c r="A135" s="149"/>
      <c r="B135" s="149"/>
      <c r="C135" s="150"/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</row>
    <row r="136" ht="15.75" customHeight="1">
      <c r="A136" s="149"/>
      <c r="B136" s="149"/>
      <c r="C136" s="150"/>
      <c r="D136" s="151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</row>
    <row r="137" ht="15.75" customHeight="1">
      <c r="A137" s="149"/>
      <c r="B137" s="149"/>
      <c r="C137" s="150"/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ht="15.75" customHeight="1">
      <c r="A138" s="149"/>
      <c r="B138" s="149"/>
      <c r="C138" s="150"/>
      <c r="D138" s="151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</row>
    <row r="139" ht="15.75" customHeight="1">
      <c r="A139" s="149"/>
      <c r="B139" s="149"/>
      <c r="C139" s="150"/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</row>
    <row r="140" ht="15.75" customHeight="1">
      <c r="A140" s="149"/>
      <c r="B140" s="149"/>
      <c r="C140" s="150"/>
      <c r="D140" s="151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</row>
    <row r="141" ht="15.75" customHeight="1">
      <c r="A141" s="149"/>
      <c r="B141" s="149"/>
      <c r="C141" s="150"/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</row>
    <row r="142" ht="15.75" customHeight="1">
      <c r="A142" s="149"/>
      <c r="B142" s="149"/>
      <c r="C142" s="150"/>
      <c r="D142" s="151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</row>
    <row r="143" ht="15.75" customHeight="1">
      <c r="A143" s="149"/>
      <c r="B143" s="149"/>
      <c r="C143" s="150"/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</row>
    <row r="144" ht="15.75" customHeight="1">
      <c r="A144" s="149"/>
      <c r="B144" s="149"/>
      <c r="C144" s="150"/>
      <c r="D144" s="151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</row>
    <row r="145" ht="15.75" customHeight="1">
      <c r="A145" s="149"/>
      <c r="B145" s="149"/>
      <c r="C145" s="150"/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</row>
    <row r="146" ht="15.75" customHeight="1">
      <c r="A146" s="149"/>
      <c r="B146" s="149"/>
      <c r="C146" s="150"/>
      <c r="D146" s="151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</row>
    <row r="147" ht="15.75" customHeight="1">
      <c r="A147" s="149"/>
      <c r="B147" s="149"/>
      <c r="C147" s="150"/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</row>
    <row r="148" ht="15.75" customHeight="1">
      <c r="A148" s="149"/>
      <c r="B148" s="149"/>
      <c r="C148" s="150"/>
      <c r="D148" s="151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</row>
    <row r="149" ht="15.75" customHeight="1">
      <c r="A149" s="149"/>
      <c r="B149" s="149"/>
      <c r="C149" s="150"/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</row>
    <row r="150" ht="15.75" customHeight="1">
      <c r="A150" s="149"/>
      <c r="B150" s="149"/>
      <c r="C150" s="150"/>
      <c r="D150" s="151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</row>
    <row r="151" ht="15.75" customHeight="1">
      <c r="A151" s="149"/>
      <c r="B151" s="149"/>
      <c r="C151" s="150"/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</row>
    <row r="152" ht="15.75" customHeight="1">
      <c r="A152" s="149"/>
      <c r="B152" s="149"/>
      <c r="C152" s="150"/>
      <c r="D152" s="151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</row>
    <row r="153" ht="15.75" customHeight="1">
      <c r="A153" s="149"/>
      <c r="B153" s="149"/>
      <c r="C153" s="150"/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</row>
    <row r="154" ht="15.75" customHeight="1">
      <c r="A154" s="149"/>
      <c r="B154" s="149"/>
      <c r="C154" s="150"/>
      <c r="D154" s="151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</row>
    <row r="155" ht="15.75" customHeight="1">
      <c r="A155" s="149"/>
      <c r="B155" s="149"/>
      <c r="C155" s="150"/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</row>
    <row r="156" ht="15.75" customHeight="1">
      <c r="A156" s="149"/>
      <c r="B156" s="149"/>
      <c r="C156" s="150"/>
      <c r="D156" s="151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</row>
    <row r="157" ht="15.75" customHeight="1">
      <c r="A157" s="149"/>
      <c r="B157" s="149"/>
      <c r="C157" s="150"/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</row>
    <row r="158" ht="15.75" customHeight="1">
      <c r="A158" s="149"/>
      <c r="B158" s="149"/>
      <c r="C158" s="150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</row>
    <row r="159" ht="15.75" customHeight="1">
      <c r="A159" s="149"/>
      <c r="B159" s="149"/>
      <c r="C159" s="150"/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</row>
    <row r="160" ht="15.75" customHeight="1">
      <c r="A160" s="149"/>
      <c r="B160" s="149"/>
      <c r="C160" s="150"/>
      <c r="D160" s="151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</row>
    <row r="161" ht="15.75" customHeight="1">
      <c r="A161" s="149"/>
      <c r="B161" s="149"/>
      <c r="C161" s="150"/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</row>
    <row r="162" ht="15.75" customHeight="1">
      <c r="A162" s="149"/>
      <c r="B162" s="149"/>
      <c r="C162" s="150"/>
      <c r="D162" s="151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</row>
    <row r="163" ht="15.75" customHeight="1">
      <c r="A163" s="149"/>
      <c r="B163" s="149"/>
      <c r="C163" s="150"/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</row>
    <row r="164" ht="15.75" customHeight="1">
      <c r="A164" s="149"/>
      <c r="B164" s="149"/>
      <c r="C164" s="150"/>
      <c r="D164" s="151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</row>
    <row r="165" ht="15.75" customHeight="1">
      <c r="A165" s="149"/>
      <c r="B165" s="149"/>
      <c r="C165" s="150"/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</row>
    <row r="166" ht="15.75" customHeight="1">
      <c r="A166" s="149"/>
      <c r="B166" s="149"/>
      <c r="C166" s="150"/>
      <c r="D166" s="151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</row>
    <row r="167" ht="15.75" customHeight="1">
      <c r="A167" s="149"/>
      <c r="B167" s="149"/>
      <c r="C167" s="150"/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</row>
    <row r="168" ht="15.75" customHeight="1">
      <c r="A168" s="149"/>
      <c r="B168" s="149"/>
      <c r="C168" s="150"/>
      <c r="D168" s="151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</row>
    <row r="169" ht="15.75" customHeight="1">
      <c r="A169" s="149"/>
      <c r="B169" s="149"/>
      <c r="C169" s="150"/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</row>
    <row r="170" ht="15.75" customHeight="1">
      <c r="A170" s="149"/>
      <c r="B170" s="149"/>
      <c r="C170" s="150"/>
      <c r="D170" s="151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</row>
    <row r="171" ht="15.75" customHeight="1">
      <c r="A171" s="149"/>
      <c r="B171" s="149"/>
      <c r="C171" s="150"/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</row>
    <row r="172" ht="15.75" customHeight="1">
      <c r="A172" s="149"/>
      <c r="B172" s="149"/>
      <c r="C172" s="150"/>
      <c r="D172" s="151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</row>
    <row r="173" ht="15.75" customHeight="1">
      <c r="A173" s="149"/>
      <c r="B173" s="149"/>
      <c r="C173" s="150"/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</row>
    <row r="174" ht="15.75" customHeight="1">
      <c r="A174" s="149"/>
      <c r="B174" s="149"/>
      <c r="C174" s="150"/>
      <c r="D174" s="151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</row>
    <row r="175" ht="15.75" customHeight="1">
      <c r="A175" s="149"/>
      <c r="B175" s="149"/>
      <c r="C175" s="150"/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</row>
    <row r="176" ht="15.75" customHeight="1">
      <c r="A176" s="149"/>
      <c r="B176" s="149"/>
      <c r="C176" s="150"/>
      <c r="D176" s="151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</row>
    <row r="177" ht="15.75" customHeight="1">
      <c r="A177" s="149"/>
      <c r="B177" s="149"/>
      <c r="C177" s="150"/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</row>
    <row r="178" ht="15.75" customHeight="1">
      <c r="A178" s="149"/>
      <c r="B178" s="149"/>
      <c r="C178" s="150"/>
      <c r="D178" s="151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</row>
    <row r="179" ht="15.75" customHeight="1">
      <c r="A179" s="149"/>
      <c r="B179" s="149"/>
      <c r="C179" s="150"/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</row>
    <row r="180" ht="15.75" customHeight="1">
      <c r="A180" s="149"/>
      <c r="B180" s="149"/>
      <c r="C180" s="150"/>
      <c r="D180" s="151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</row>
    <row r="181" ht="15.75" customHeight="1">
      <c r="A181" s="149"/>
      <c r="B181" s="149"/>
      <c r="C181" s="150"/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</row>
    <row r="182" ht="15.75" customHeight="1">
      <c r="A182" s="149"/>
      <c r="B182" s="149"/>
      <c r="C182" s="150"/>
      <c r="D182" s="151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</row>
    <row r="183" ht="15.75" customHeight="1">
      <c r="A183" s="149"/>
      <c r="B183" s="149"/>
      <c r="C183" s="150"/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</row>
    <row r="184" ht="15.75" customHeight="1">
      <c r="A184" s="149"/>
      <c r="B184" s="149"/>
      <c r="C184" s="150"/>
      <c r="D184" s="151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</row>
    <row r="185" ht="15.75" customHeight="1">
      <c r="A185" s="149"/>
      <c r="B185" s="149"/>
      <c r="C185" s="150"/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</row>
    <row r="186" ht="15.75" customHeight="1">
      <c r="A186" s="149"/>
      <c r="B186" s="149"/>
      <c r="C186" s="150"/>
      <c r="D186" s="151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</row>
    <row r="187" ht="15.75" customHeight="1">
      <c r="A187" s="149"/>
      <c r="B187" s="149"/>
      <c r="C187" s="150"/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</row>
    <row r="188" ht="15.75" customHeight="1">
      <c r="A188" s="149"/>
      <c r="B188" s="149"/>
      <c r="C188" s="150"/>
      <c r="D188" s="151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</row>
    <row r="189" ht="15.75" customHeight="1">
      <c r="A189" s="149"/>
      <c r="B189" s="149"/>
      <c r="C189" s="150"/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</row>
    <row r="190" ht="15.75" customHeight="1">
      <c r="A190" s="149"/>
      <c r="B190" s="149"/>
      <c r="C190" s="150"/>
      <c r="D190" s="151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</row>
    <row r="191" ht="15.75" customHeight="1">
      <c r="A191" s="149"/>
      <c r="B191" s="149"/>
      <c r="C191" s="150"/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</row>
    <row r="192" ht="15.75" customHeight="1">
      <c r="A192" s="149"/>
      <c r="B192" s="149"/>
      <c r="C192" s="150"/>
      <c r="D192" s="151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</row>
    <row r="193" ht="15.75" customHeight="1">
      <c r="A193" s="149"/>
      <c r="B193" s="149"/>
      <c r="C193" s="150"/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</row>
    <row r="194" ht="15.75" customHeight="1">
      <c r="A194" s="149"/>
      <c r="B194" s="149"/>
      <c r="C194" s="150"/>
      <c r="D194" s="151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</row>
    <row r="195" ht="15.75" customHeight="1">
      <c r="A195" s="149"/>
      <c r="B195" s="149"/>
      <c r="C195" s="150"/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</row>
    <row r="196" ht="15.75" customHeight="1">
      <c r="A196" s="149"/>
      <c r="B196" s="149"/>
      <c r="C196" s="150"/>
      <c r="D196" s="151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</row>
    <row r="197" ht="15.75" customHeight="1">
      <c r="A197" s="149"/>
      <c r="B197" s="149"/>
      <c r="C197" s="150"/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</row>
    <row r="198" ht="15.75" customHeight="1">
      <c r="A198" s="149"/>
      <c r="B198" s="149"/>
      <c r="C198" s="150"/>
      <c r="D198" s="151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</row>
    <row r="199" ht="15.75" customHeight="1">
      <c r="A199" s="149"/>
      <c r="B199" s="149"/>
      <c r="C199" s="150"/>
      <c r="D199" s="151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</row>
    <row r="200" ht="15.75" customHeight="1">
      <c r="A200" s="149"/>
      <c r="B200" s="149"/>
      <c r="C200" s="150"/>
      <c r="D200" s="151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</row>
    <row r="201" ht="15.75" customHeight="1">
      <c r="A201" s="149"/>
      <c r="B201" s="149"/>
      <c r="C201" s="150"/>
      <c r="D201" s="151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</row>
    <row r="202" ht="15.75" customHeight="1">
      <c r="A202" s="149"/>
      <c r="B202" s="149"/>
      <c r="C202" s="150"/>
      <c r="D202" s="151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</row>
    <row r="203" ht="15.75" customHeight="1">
      <c r="A203" s="149"/>
      <c r="B203" s="149"/>
      <c r="C203" s="150"/>
      <c r="D203" s="151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</row>
    <row r="204" ht="15.75" customHeight="1">
      <c r="A204" s="149"/>
      <c r="B204" s="149"/>
      <c r="C204" s="150"/>
      <c r="D204" s="151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</row>
    <row r="205" ht="15.75" customHeight="1">
      <c r="A205" s="149"/>
      <c r="B205" s="149"/>
      <c r="C205" s="150"/>
      <c r="D205" s="151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</row>
    <row r="206" ht="15.75" customHeight="1">
      <c r="A206" s="149"/>
      <c r="B206" s="149"/>
      <c r="C206" s="150"/>
      <c r="D206" s="151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</row>
    <row r="207" ht="15.75" customHeight="1">
      <c r="A207" s="149"/>
      <c r="B207" s="149"/>
      <c r="C207" s="150"/>
      <c r="D207" s="151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</row>
    <row r="208" ht="15.75" customHeight="1">
      <c r="A208" s="149"/>
      <c r="B208" s="149"/>
      <c r="C208" s="150"/>
      <c r="D208" s="151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</row>
    <row r="209" ht="15.75" customHeight="1">
      <c r="A209" s="149"/>
      <c r="B209" s="149"/>
      <c r="C209" s="150"/>
      <c r="D209" s="151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</row>
    <row r="210" ht="15.75" customHeight="1">
      <c r="A210" s="149"/>
      <c r="B210" s="149"/>
      <c r="C210" s="150"/>
      <c r="D210" s="151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</row>
    <row r="211" ht="15.75" customHeight="1">
      <c r="A211" s="149"/>
      <c r="B211" s="149"/>
      <c r="C211" s="150"/>
      <c r="D211" s="151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</row>
    <row r="212" ht="15.75" customHeight="1">
      <c r="A212" s="149"/>
      <c r="B212" s="149"/>
      <c r="C212" s="150"/>
      <c r="D212" s="151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</row>
    <row r="213" ht="15.75" customHeight="1">
      <c r="A213" s="149"/>
      <c r="B213" s="149"/>
      <c r="C213" s="150"/>
      <c r="D213" s="151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</row>
    <row r="214" ht="15.75" customHeight="1">
      <c r="A214" s="149"/>
      <c r="B214" s="149"/>
      <c r="C214" s="150"/>
      <c r="D214" s="151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</row>
    <row r="215" ht="15.75" customHeight="1">
      <c r="A215" s="149"/>
      <c r="B215" s="149"/>
      <c r="C215" s="150"/>
      <c r="D215" s="151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</row>
    <row r="216" ht="15.75" customHeight="1">
      <c r="A216" s="149"/>
      <c r="B216" s="149"/>
      <c r="C216" s="150"/>
      <c r="D216" s="151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</row>
    <row r="217" ht="15.75" customHeight="1">
      <c r="A217" s="149"/>
      <c r="B217" s="149"/>
      <c r="C217" s="150"/>
      <c r="D217" s="151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</row>
    <row r="218" ht="15.75" customHeight="1">
      <c r="A218" s="149"/>
      <c r="B218" s="149"/>
      <c r="C218" s="150"/>
      <c r="D218" s="151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</row>
    <row r="219" ht="15.75" customHeight="1">
      <c r="A219" s="149"/>
      <c r="B219" s="149"/>
      <c r="C219" s="150"/>
      <c r="D219" s="151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</row>
    <row r="220" ht="15.75" customHeight="1">
      <c r="A220" s="149"/>
      <c r="B220" s="149"/>
      <c r="C220" s="150"/>
      <c r="D220" s="151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</row>
    <row r="221" ht="15.75" customHeight="1">
      <c r="A221" s="149"/>
      <c r="B221" s="149"/>
      <c r="C221" s="150"/>
      <c r="D221" s="151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</row>
    <row r="222" ht="15.75" customHeight="1">
      <c r="A222" s="149"/>
      <c r="B222" s="149"/>
      <c r="C222" s="150"/>
      <c r="D222" s="151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</row>
    <row r="223" ht="15.75" customHeight="1">
      <c r="A223" s="149"/>
      <c r="B223" s="149"/>
      <c r="C223" s="150"/>
      <c r="D223" s="151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</row>
    <row r="224" ht="15.75" customHeight="1">
      <c r="A224" s="149"/>
      <c r="B224" s="149"/>
      <c r="C224" s="150"/>
      <c r="D224" s="151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</row>
    <row r="225" ht="15.75" customHeight="1">
      <c r="A225" s="149"/>
      <c r="B225" s="149"/>
      <c r="C225" s="150"/>
      <c r="D225" s="151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</row>
    <row r="226" ht="15.75" customHeight="1">
      <c r="A226" s="149"/>
      <c r="B226" s="149"/>
      <c r="C226" s="150"/>
      <c r="D226" s="151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</row>
    <row r="227" ht="15.75" customHeight="1">
      <c r="A227" s="149"/>
      <c r="B227" s="149"/>
      <c r="C227" s="150"/>
      <c r="D227" s="151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</row>
    <row r="228" ht="15.75" customHeight="1">
      <c r="A228" s="149"/>
      <c r="B228" s="149"/>
      <c r="C228" s="150"/>
      <c r="D228" s="151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</row>
    <row r="229" ht="15.75" customHeight="1">
      <c r="A229" s="149"/>
      <c r="B229" s="149"/>
      <c r="C229" s="150"/>
      <c r="D229" s="151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</row>
    <row r="230" ht="15.75" customHeight="1">
      <c r="A230" s="149"/>
      <c r="B230" s="149"/>
      <c r="C230" s="150"/>
      <c r="D230" s="151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</row>
    <row r="231" ht="15.75" customHeight="1">
      <c r="A231" s="149"/>
      <c r="B231" s="149"/>
      <c r="C231" s="150"/>
      <c r="D231" s="151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</row>
    <row r="232" ht="15.75" customHeight="1">
      <c r="A232" s="149"/>
      <c r="B232" s="149"/>
      <c r="C232" s="150"/>
      <c r="D232" s="151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</row>
    <row r="233" ht="15.75" customHeight="1">
      <c r="A233" s="149"/>
      <c r="B233" s="149"/>
      <c r="C233" s="150"/>
      <c r="D233" s="151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</row>
    <row r="234" ht="15.75" customHeight="1">
      <c r="A234" s="149"/>
      <c r="B234" s="149"/>
      <c r="C234" s="150"/>
      <c r="D234" s="151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</row>
    <row r="235" ht="15.75" customHeight="1">
      <c r="A235" s="149"/>
      <c r="B235" s="149"/>
      <c r="C235" s="150"/>
      <c r="D235" s="151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</row>
    <row r="236" ht="15.75" customHeight="1">
      <c r="A236" s="149"/>
      <c r="B236" s="149"/>
      <c r="C236" s="150"/>
      <c r="D236" s="151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</row>
    <row r="237" ht="15.75" customHeight="1">
      <c r="A237" s="149"/>
      <c r="B237" s="149"/>
      <c r="C237" s="150"/>
      <c r="D237" s="151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</row>
    <row r="238" ht="15.75" customHeight="1">
      <c r="A238" s="149"/>
      <c r="B238" s="149"/>
      <c r="C238" s="150"/>
      <c r="D238" s="151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</row>
    <row r="239" ht="15.75" customHeight="1">
      <c r="A239" s="149"/>
      <c r="B239" s="149"/>
      <c r="C239" s="150"/>
      <c r="D239" s="151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</row>
    <row r="240" ht="15.75" customHeight="1">
      <c r="A240" s="149"/>
      <c r="B240" s="149"/>
      <c r="C240" s="150"/>
      <c r="D240" s="151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</row>
    <row r="241" ht="15.75" customHeight="1">
      <c r="A241" s="149"/>
      <c r="B241" s="149"/>
      <c r="C241" s="150"/>
      <c r="D241" s="151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</row>
    <row r="242" ht="15.75" customHeight="1">
      <c r="A242" s="149"/>
      <c r="B242" s="149"/>
      <c r="C242" s="150"/>
      <c r="D242" s="151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</row>
    <row r="243" ht="15.75" customHeight="1">
      <c r="A243" s="149"/>
      <c r="B243" s="149"/>
      <c r="C243" s="150"/>
      <c r="D243" s="151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</row>
    <row r="244" ht="15.75" customHeight="1">
      <c r="A244" s="149"/>
      <c r="B244" s="149"/>
      <c r="C244" s="150"/>
      <c r="D244" s="151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</row>
    <row r="245" ht="15.75" customHeight="1">
      <c r="A245" s="149"/>
      <c r="B245" s="149"/>
      <c r="C245" s="150"/>
      <c r="D245" s="151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</row>
    <row r="246" ht="15.75" customHeight="1">
      <c r="A246" s="149"/>
      <c r="B246" s="149"/>
      <c r="C246" s="150"/>
      <c r="D246" s="151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</row>
    <row r="247" ht="15.75" customHeight="1">
      <c r="A247" s="149"/>
      <c r="B247" s="149"/>
      <c r="C247" s="150"/>
      <c r="D247" s="151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</row>
    <row r="248" ht="15.75" customHeight="1">
      <c r="A248" s="149"/>
      <c r="B248" s="149"/>
      <c r="C248" s="150"/>
      <c r="D248" s="151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</row>
    <row r="249" ht="15.75" customHeight="1">
      <c r="A249" s="149"/>
      <c r="B249" s="149"/>
      <c r="C249" s="150"/>
      <c r="D249" s="151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</row>
    <row r="250" ht="15.75" customHeight="1">
      <c r="A250" s="149"/>
      <c r="B250" s="149"/>
      <c r="C250" s="150"/>
      <c r="D250" s="151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</row>
    <row r="251" ht="15.75" customHeight="1">
      <c r="A251" s="149"/>
      <c r="B251" s="149"/>
      <c r="C251" s="150"/>
      <c r="D251" s="151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</row>
    <row r="252" ht="15.75" customHeight="1">
      <c r="A252" s="149"/>
      <c r="B252" s="149"/>
      <c r="C252" s="150"/>
      <c r="D252" s="151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</row>
    <row r="253" ht="15.75" customHeight="1">
      <c r="A253" s="149"/>
      <c r="B253" s="149"/>
      <c r="C253" s="150"/>
      <c r="D253" s="151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</row>
    <row r="254" ht="15.75" customHeight="1">
      <c r="A254" s="149"/>
      <c r="B254" s="149"/>
      <c r="C254" s="150"/>
      <c r="D254" s="151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</row>
    <row r="255" ht="15.75" customHeight="1">
      <c r="A255" s="149"/>
      <c r="B255" s="149"/>
      <c r="C255" s="150"/>
      <c r="D255" s="151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</row>
    <row r="256" ht="15.75" customHeight="1">
      <c r="A256" s="149"/>
      <c r="B256" s="149"/>
      <c r="C256" s="150"/>
      <c r="D256" s="151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</row>
    <row r="257" ht="15.75" customHeight="1">
      <c r="A257" s="149"/>
      <c r="B257" s="149"/>
      <c r="C257" s="150"/>
      <c r="D257" s="151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</row>
    <row r="258" ht="15.75" customHeight="1">
      <c r="A258" s="149"/>
      <c r="B258" s="149"/>
      <c r="C258" s="150"/>
      <c r="D258" s="151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</row>
    <row r="259" ht="15.75" customHeight="1">
      <c r="A259" s="149"/>
      <c r="B259" s="149"/>
      <c r="C259" s="150"/>
      <c r="D259" s="151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</row>
    <row r="260" ht="15.75" customHeight="1">
      <c r="A260" s="149"/>
      <c r="B260" s="149"/>
      <c r="C260" s="150"/>
      <c r="D260" s="151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</row>
    <row r="261" ht="15.75" customHeight="1">
      <c r="A261" s="149"/>
      <c r="B261" s="149"/>
      <c r="C261" s="150"/>
      <c r="D261" s="151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</row>
    <row r="262" ht="15.75" customHeight="1">
      <c r="A262" s="149"/>
      <c r="B262" s="149"/>
      <c r="C262" s="150"/>
      <c r="D262" s="151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</row>
    <row r="263" ht="15.75" customHeight="1">
      <c r="A263" s="149"/>
      <c r="B263" s="149"/>
      <c r="C263" s="150"/>
      <c r="D263" s="151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</row>
    <row r="264" ht="15.75" customHeight="1">
      <c r="A264" s="149"/>
      <c r="B264" s="149"/>
      <c r="C264" s="150"/>
      <c r="D264" s="151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</row>
    <row r="265" ht="15.75" customHeight="1">
      <c r="A265" s="149"/>
      <c r="B265" s="149"/>
      <c r="C265" s="150"/>
      <c r="D265" s="151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</row>
    <row r="266" ht="15.75" customHeight="1">
      <c r="A266" s="149"/>
      <c r="B266" s="149"/>
      <c r="C266" s="150"/>
      <c r="D266" s="151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</row>
    <row r="267" ht="15.75" customHeight="1">
      <c r="A267" s="149"/>
      <c r="B267" s="149"/>
      <c r="C267" s="150"/>
      <c r="D267" s="151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</row>
    <row r="268" ht="15.75" customHeight="1">
      <c r="A268" s="149"/>
      <c r="B268" s="149"/>
      <c r="C268" s="150"/>
      <c r="D268" s="151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</row>
    <row r="269" ht="15.75" customHeight="1">
      <c r="A269" s="149"/>
      <c r="B269" s="149"/>
      <c r="C269" s="150"/>
      <c r="D269" s="151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</row>
    <row r="270" ht="15.75" customHeight="1">
      <c r="A270" s="149"/>
      <c r="B270" s="149"/>
      <c r="C270" s="150"/>
      <c r="D270" s="151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</row>
    <row r="271" ht="15.75" customHeight="1">
      <c r="A271" s="149"/>
      <c r="B271" s="149"/>
      <c r="C271" s="150"/>
      <c r="D271" s="151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</row>
    <row r="272" ht="15.75" customHeight="1">
      <c r="A272" s="149"/>
      <c r="B272" s="149"/>
      <c r="C272" s="150"/>
      <c r="D272" s="151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</row>
    <row r="273" ht="15.75" customHeight="1">
      <c r="A273" s="149"/>
      <c r="B273" s="149"/>
      <c r="C273" s="150"/>
      <c r="D273" s="151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</row>
    <row r="274" ht="15.75" customHeight="1">
      <c r="A274" s="149"/>
      <c r="B274" s="149"/>
      <c r="C274" s="150"/>
      <c r="D274" s="151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</row>
    <row r="275" ht="15.75" customHeight="1">
      <c r="A275" s="149"/>
      <c r="B275" s="149"/>
      <c r="C275" s="150"/>
      <c r="D275" s="151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</row>
    <row r="276" ht="15.75" customHeight="1">
      <c r="A276" s="149"/>
      <c r="B276" s="149"/>
      <c r="C276" s="150"/>
      <c r="D276" s="151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</row>
    <row r="277" ht="15.75" customHeight="1">
      <c r="A277" s="149"/>
      <c r="B277" s="149"/>
      <c r="C277" s="150"/>
      <c r="D277" s="151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</row>
    <row r="278" ht="15.75" customHeight="1">
      <c r="A278" s="149"/>
      <c r="B278" s="149"/>
      <c r="C278" s="150"/>
      <c r="D278" s="151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</row>
    <row r="279" ht="15.75" customHeight="1">
      <c r="A279" s="149"/>
      <c r="B279" s="149"/>
      <c r="C279" s="150"/>
      <c r="D279" s="151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</row>
    <row r="280" ht="15.75" customHeight="1">
      <c r="A280" s="149"/>
      <c r="B280" s="149"/>
      <c r="C280" s="150"/>
      <c r="D280" s="151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</row>
    <row r="281" ht="15.75" customHeight="1">
      <c r="A281" s="149"/>
      <c r="B281" s="149"/>
      <c r="C281" s="150"/>
      <c r="D281" s="151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</row>
    <row r="282" ht="15.75" customHeight="1">
      <c r="A282" s="149"/>
      <c r="B282" s="149"/>
      <c r="C282" s="150"/>
      <c r="D282" s="151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</row>
    <row r="283" ht="15.75" customHeight="1">
      <c r="A283" s="149"/>
      <c r="B283" s="149"/>
      <c r="C283" s="150"/>
      <c r="D283" s="151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</row>
    <row r="284" ht="15.75" customHeight="1">
      <c r="A284" s="149"/>
      <c r="B284" s="149"/>
      <c r="C284" s="150"/>
      <c r="D284" s="151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</row>
    <row r="285" ht="15.75" customHeight="1">
      <c r="A285" s="149"/>
      <c r="B285" s="149"/>
      <c r="C285" s="150"/>
      <c r="D285" s="151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</row>
    <row r="286" ht="15.75" customHeight="1">
      <c r="A286" s="149"/>
      <c r="B286" s="149"/>
      <c r="C286" s="150"/>
      <c r="D286" s="151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</row>
    <row r="287" ht="15.75" customHeight="1">
      <c r="A287" s="149"/>
      <c r="B287" s="149"/>
      <c r="C287" s="150"/>
      <c r="D287" s="151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</row>
    <row r="288" ht="15.75" customHeight="1">
      <c r="A288" s="149"/>
      <c r="B288" s="149"/>
      <c r="C288" s="150"/>
      <c r="D288" s="151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</row>
    <row r="289" ht="15.75" customHeight="1">
      <c r="A289" s="149"/>
      <c r="B289" s="149"/>
      <c r="C289" s="150"/>
      <c r="D289" s="151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</row>
    <row r="290" ht="15.75" customHeight="1">
      <c r="A290" s="149"/>
      <c r="B290" s="149"/>
      <c r="C290" s="150"/>
      <c r="D290" s="151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</row>
    <row r="291" ht="15.75" customHeight="1">
      <c r="A291" s="149"/>
      <c r="B291" s="149"/>
      <c r="C291" s="150"/>
      <c r="D291" s="151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</row>
    <row r="292" ht="15.75" customHeight="1">
      <c r="A292" s="149"/>
      <c r="B292" s="149"/>
      <c r="C292" s="150"/>
      <c r="D292" s="151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</row>
    <row r="293" ht="15.75" customHeight="1">
      <c r="A293" s="149"/>
      <c r="B293" s="149"/>
      <c r="C293" s="150"/>
      <c r="D293" s="151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</row>
    <row r="294" ht="15.75" customHeight="1">
      <c r="A294" s="149"/>
      <c r="B294" s="149"/>
      <c r="C294" s="150"/>
      <c r="D294" s="151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</row>
    <row r="295" ht="15.75" customHeight="1">
      <c r="A295" s="149"/>
      <c r="B295" s="149"/>
      <c r="C295" s="150"/>
      <c r="D295" s="151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</row>
    <row r="296" ht="15.75" customHeight="1">
      <c r="A296" s="149"/>
      <c r="B296" s="149"/>
      <c r="C296" s="150"/>
      <c r="D296" s="151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</row>
    <row r="297" ht="15.75" customHeight="1">
      <c r="A297" s="149"/>
      <c r="B297" s="149"/>
      <c r="C297" s="150"/>
      <c r="D297" s="151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</row>
    <row r="298" ht="15.75" customHeight="1">
      <c r="A298" s="149"/>
      <c r="B298" s="149"/>
      <c r="C298" s="150"/>
      <c r="D298" s="151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</row>
    <row r="299" ht="15.75" customHeight="1">
      <c r="A299" s="149"/>
      <c r="B299" s="149"/>
      <c r="C299" s="150"/>
      <c r="D299" s="151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</row>
    <row r="300" ht="15.75" customHeight="1">
      <c r="A300" s="149"/>
      <c r="B300" s="149"/>
      <c r="C300" s="150"/>
      <c r="D300" s="151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</row>
    <row r="301" ht="15.75" customHeight="1">
      <c r="A301" s="149"/>
      <c r="B301" s="149"/>
      <c r="C301" s="150"/>
      <c r="D301" s="151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</row>
    <row r="302" ht="15.75" customHeight="1">
      <c r="A302" s="149"/>
      <c r="B302" s="149"/>
      <c r="C302" s="150"/>
      <c r="D302" s="151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</row>
    <row r="303" ht="15.75" customHeight="1">
      <c r="A303" s="149"/>
      <c r="B303" s="149"/>
      <c r="C303" s="150"/>
      <c r="D303" s="151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</row>
    <row r="304" ht="15.75" customHeight="1">
      <c r="A304" s="149"/>
      <c r="B304" s="149"/>
      <c r="C304" s="150"/>
      <c r="D304" s="151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</row>
    <row r="305" ht="15.75" customHeight="1">
      <c r="A305" s="149"/>
      <c r="B305" s="149"/>
      <c r="C305" s="150"/>
      <c r="D305" s="151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</row>
    <row r="306" ht="15.75" customHeight="1">
      <c r="A306" s="149"/>
      <c r="B306" s="149"/>
      <c r="C306" s="150"/>
      <c r="D306" s="151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</row>
    <row r="307" ht="15.75" customHeight="1">
      <c r="A307" s="149"/>
      <c r="B307" s="149"/>
      <c r="C307" s="150"/>
      <c r="D307" s="151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</row>
    <row r="308" ht="15.75" customHeight="1">
      <c r="A308" s="149"/>
      <c r="B308" s="149"/>
      <c r="C308" s="150"/>
      <c r="D308" s="151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</row>
    <row r="309" ht="15.75" customHeight="1">
      <c r="A309" s="149"/>
      <c r="B309" s="149"/>
      <c r="C309" s="150"/>
      <c r="D309" s="151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</row>
    <row r="310" ht="15.75" customHeight="1">
      <c r="A310" s="149"/>
      <c r="B310" s="149"/>
      <c r="C310" s="150"/>
      <c r="D310" s="151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</row>
    <row r="311" ht="15.75" customHeight="1">
      <c r="A311" s="149"/>
      <c r="B311" s="149"/>
      <c r="C311" s="150"/>
      <c r="D311" s="151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</row>
    <row r="312" ht="15.75" customHeight="1">
      <c r="A312" s="149"/>
      <c r="B312" s="149"/>
      <c r="C312" s="150"/>
      <c r="D312" s="151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</row>
    <row r="313" ht="15.75" customHeight="1">
      <c r="A313" s="149"/>
      <c r="B313" s="149"/>
      <c r="C313" s="150"/>
      <c r="D313" s="151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</row>
    <row r="314" ht="15.75" customHeight="1">
      <c r="A314" s="149"/>
      <c r="B314" s="149"/>
      <c r="C314" s="150"/>
      <c r="D314" s="151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</row>
    <row r="315" ht="15.75" customHeight="1">
      <c r="A315" s="149"/>
      <c r="B315" s="149"/>
      <c r="C315" s="150"/>
      <c r="D315" s="151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</row>
    <row r="316" ht="15.75" customHeight="1">
      <c r="A316" s="149"/>
      <c r="B316" s="149"/>
      <c r="C316" s="150"/>
      <c r="D316" s="151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</row>
    <row r="317" ht="15.75" customHeight="1">
      <c r="A317" s="149"/>
      <c r="B317" s="149"/>
      <c r="C317" s="150"/>
      <c r="D317" s="151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</row>
    <row r="318" ht="15.75" customHeight="1">
      <c r="A318" s="149"/>
      <c r="B318" s="149"/>
      <c r="C318" s="150"/>
      <c r="D318" s="151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</row>
    <row r="319" ht="15.75" customHeight="1">
      <c r="A319" s="149"/>
      <c r="B319" s="149"/>
      <c r="C319" s="150"/>
      <c r="D319" s="151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</row>
    <row r="320" ht="15.75" customHeight="1">
      <c r="A320" s="149"/>
      <c r="B320" s="149"/>
      <c r="C320" s="150"/>
      <c r="D320" s="151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</row>
    <row r="321" ht="15.75" customHeight="1">
      <c r="A321" s="149"/>
      <c r="B321" s="149"/>
      <c r="C321" s="150"/>
      <c r="D321" s="151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</row>
    <row r="322" ht="15.75" customHeight="1">
      <c r="A322" s="149"/>
      <c r="B322" s="149"/>
      <c r="C322" s="150"/>
      <c r="D322" s="151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</row>
    <row r="323" ht="15.75" customHeight="1">
      <c r="A323" s="149"/>
      <c r="B323" s="149"/>
      <c r="C323" s="150"/>
      <c r="D323" s="151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</row>
    <row r="324" ht="15.75" customHeight="1">
      <c r="A324" s="149"/>
      <c r="B324" s="149"/>
      <c r="C324" s="150"/>
      <c r="D324" s="151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</row>
    <row r="325" ht="15.75" customHeight="1">
      <c r="A325" s="149"/>
      <c r="B325" s="149"/>
      <c r="C325" s="150"/>
      <c r="D325" s="151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</row>
    <row r="326" ht="15.75" customHeight="1">
      <c r="A326" s="149"/>
      <c r="B326" s="149"/>
      <c r="C326" s="150"/>
      <c r="D326" s="151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</row>
    <row r="327" ht="15.75" customHeight="1">
      <c r="A327" s="149"/>
      <c r="B327" s="149"/>
      <c r="C327" s="150"/>
      <c r="D327" s="151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</row>
    <row r="328" ht="15.75" customHeight="1">
      <c r="A328" s="149"/>
      <c r="B328" s="149"/>
      <c r="C328" s="150"/>
      <c r="D328" s="151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</row>
    <row r="329" ht="15.75" customHeight="1">
      <c r="A329" s="149"/>
      <c r="B329" s="149"/>
      <c r="C329" s="150"/>
      <c r="D329" s="151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</row>
    <row r="330" ht="15.75" customHeight="1">
      <c r="A330" s="149"/>
      <c r="B330" s="149"/>
      <c r="C330" s="150"/>
      <c r="D330" s="151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</row>
    <row r="331" ht="15.75" customHeight="1">
      <c r="A331" s="149"/>
      <c r="B331" s="149"/>
      <c r="C331" s="150"/>
      <c r="D331" s="151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</row>
    <row r="332" ht="15.75" customHeight="1">
      <c r="A332" s="149"/>
      <c r="B332" s="149"/>
      <c r="C332" s="150"/>
      <c r="D332" s="151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</row>
    <row r="333" ht="15.75" customHeight="1">
      <c r="A333" s="149"/>
      <c r="B333" s="149"/>
      <c r="C333" s="150"/>
      <c r="D333" s="151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</row>
    <row r="334" ht="15.75" customHeight="1">
      <c r="A334" s="149"/>
      <c r="B334" s="149"/>
      <c r="C334" s="150"/>
      <c r="D334" s="151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</row>
    <row r="335" ht="15.75" customHeight="1">
      <c r="A335" s="149"/>
      <c r="B335" s="149"/>
      <c r="C335" s="150"/>
      <c r="D335" s="151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</row>
    <row r="336" ht="15.75" customHeight="1">
      <c r="A336" s="149"/>
      <c r="B336" s="149"/>
      <c r="C336" s="150"/>
      <c r="D336" s="151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</row>
    <row r="337" ht="15.75" customHeight="1">
      <c r="A337" s="149"/>
      <c r="B337" s="149"/>
      <c r="C337" s="150"/>
      <c r="D337" s="151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</row>
    <row r="338" ht="15.75" customHeight="1">
      <c r="A338" s="149"/>
      <c r="B338" s="149"/>
      <c r="C338" s="150"/>
      <c r="D338" s="151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</row>
    <row r="339" ht="15.75" customHeight="1">
      <c r="A339" s="149"/>
      <c r="B339" s="149"/>
      <c r="C339" s="150"/>
      <c r="D339" s="151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</row>
    <row r="340" ht="15.75" customHeight="1">
      <c r="A340" s="149"/>
      <c r="B340" s="149"/>
      <c r="C340" s="150"/>
      <c r="D340" s="151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</row>
    <row r="341" ht="15.75" customHeight="1">
      <c r="A341" s="149"/>
      <c r="B341" s="149"/>
      <c r="C341" s="150"/>
      <c r="D341" s="151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</row>
    <row r="342" ht="15.75" customHeight="1">
      <c r="A342" s="149"/>
      <c r="B342" s="149"/>
      <c r="C342" s="150"/>
      <c r="D342" s="151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</row>
    <row r="343" ht="15.75" customHeight="1">
      <c r="A343" s="149"/>
      <c r="B343" s="149"/>
      <c r="C343" s="150"/>
      <c r="D343" s="151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</row>
    <row r="344" ht="15.75" customHeight="1">
      <c r="A344" s="149"/>
      <c r="B344" s="149"/>
      <c r="C344" s="150"/>
      <c r="D344" s="151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</row>
    <row r="345" ht="15.75" customHeight="1">
      <c r="A345" s="149"/>
      <c r="B345" s="149"/>
      <c r="C345" s="150"/>
      <c r="D345" s="151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</row>
    <row r="346" ht="15.75" customHeight="1">
      <c r="A346" s="149"/>
      <c r="B346" s="149"/>
      <c r="C346" s="150"/>
      <c r="D346" s="151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</row>
    <row r="347" ht="15.75" customHeight="1">
      <c r="A347" s="149"/>
      <c r="B347" s="149"/>
      <c r="C347" s="150"/>
      <c r="D347" s="151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</row>
    <row r="348" ht="15.75" customHeight="1">
      <c r="A348" s="149"/>
      <c r="B348" s="149"/>
      <c r="C348" s="150"/>
      <c r="D348" s="151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</row>
    <row r="349" ht="15.75" customHeight="1">
      <c r="A349" s="149"/>
      <c r="B349" s="149"/>
      <c r="C349" s="150"/>
      <c r="D349" s="151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</row>
    <row r="350" ht="15.75" customHeight="1">
      <c r="A350" s="149"/>
      <c r="B350" s="149"/>
      <c r="C350" s="150"/>
      <c r="D350" s="151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</row>
    <row r="351" ht="15.75" customHeight="1">
      <c r="A351" s="149"/>
      <c r="B351" s="149"/>
      <c r="C351" s="150"/>
      <c r="D351" s="151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</row>
    <row r="352" ht="15.75" customHeight="1">
      <c r="A352" s="149"/>
      <c r="B352" s="149"/>
      <c r="C352" s="150"/>
      <c r="D352" s="151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</row>
    <row r="353" ht="15.75" customHeight="1">
      <c r="A353" s="149"/>
      <c r="B353" s="149"/>
      <c r="C353" s="150"/>
      <c r="D353" s="151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</row>
    <row r="354" ht="15.75" customHeight="1">
      <c r="A354" s="149"/>
      <c r="B354" s="149"/>
      <c r="C354" s="150"/>
      <c r="D354" s="151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</row>
    <row r="355" ht="15.75" customHeight="1">
      <c r="A355" s="149"/>
      <c r="B355" s="149"/>
      <c r="C355" s="150"/>
      <c r="D355" s="151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</row>
    <row r="356" ht="15.75" customHeight="1">
      <c r="A356" s="149"/>
      <c r="B356" s="149"/>
      <c r="C356" s="150"/>
      <c r="D356" s="151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</row>
    <row r="357" ht="15.75" customHeight="1">
      <c r="A357" s="149"/>
      <c r="B357" s="149"/>
      <c r="C357" s="150"/>
      <c r="D357" s="151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</row>
    <row r="358" ht="15.75" customHeight="1">
      <c r="A358" s="149"/>
      <c r="B358" s="149"/>
      <c r="C358" s="150"/>
      <c r="D358" s="151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</row>
    <row r="359" ht="15.75" customHeight="1">
      <c r="A359" s="149"/>
      <c r="B359" s="149"/>
      <c r="C359" s="150"/>
      <c r="D359" s="151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</row>
    <row r="360" ht="15.75" customHeight="1">
      <c r="A360" s="149"/>
      <c r="B360" s="149"/>
      <c r="C360" s="150"/>
      <c r="D360" s="151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</row>
    <row r="361" ht="15.75" customHeight="1">
      <c r="A361" s="149"/>
      <c r="B361" s="149"/>
      <c r="C361" s="150"/>
      <c r="D361" s="151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</row>
    <row r="362" ht="15.75" customHeight="1">
      <c r="A362" s="149"/>
      <c r="B362" s="149"/>
      <c r="C362" s="150"/>
      <c r="D362" s="151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</row>
    <row r="363" ht="15.75" customHeight="1">
      <c r="A363" s="149"/>
      <c r="B363" s="149"/>
      <c r="C363" s="150"/>
      <c r="D363" s="151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</row>
    <row r="364" ht="15.75" customHeight="1">
      <c r="A364" s="149"/>
      <c r="B364" s="149"/>
      <c r="C364" s="150"/>
      <c r="D364" s="151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</row>
    <row r="365" ht="15.75" customHeight="1">
      <c r="A365" s="149"/>
      <c r="B365" s="149"/>
      <c r="C365" s="150"/>
      <c r="D365" s="151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</row>
    <row r="366" ht="15.75" customHeight="1">
      <c r="A366" s="149"/>
      <c r="B366" s="149"/>
      <c r="C366" s="150"/>
      <c r="D366" s="151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</row>
    <row r="367" ht="15.75" customHeight="1">
      <c r="A367" s="149"/>
      <c r="B367" s="149"/>
      <c r="C367" s="150"/>
      <c r="D367" s="151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</row>
    <row r="368" ht="15.75" customHeight="1">
      <c r="A368" s="149"/>
      <c r="B368" s="149"/>
      <c r="C368" s="150"/>
      <c r="D368" s="151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</row>
    <row r="369" ht="15.75" customHeight="1">
      <c r="A369" s="149"/>
      <c r="B369" s="149"/>
      <c r="C369" s="150"/>
      <c r="D369" s="151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</row>
    <row r="370" ht="15.75" customHeight="1">
      <c r="A370" s="149"/>
      <c r="B370" s="149"/>
      <c r="C370" s="150"/>
      <c r="D370" s="151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</row>
    <row r="371" ht="15.75" customHeight="1">
      <c r="A371" s="149"/>
      <c r="B371" s="149"/>
      <c r="C371" s="150"/>
      <c r="D371" s="151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</row>
    <row r="372" ht="15.75" customHeight="1">
      <c r="A372" s="149"/>
      <c r="B372" s="149"/>
      <c r="C372" s="150"/>
      <c r="D372" s="151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</row>
    <row r="373" ht="15.75" customHeight="1">
      <c r="A373" s="149"/>
      <c r="B373" s="149"/>
      <c r="C373" s="150"/>
      <c r="D373" s="151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</row>
    <row r="374" ht="15.75" customHeight="1">
      <c r="A374" s="149"/>
      <c r="B374" s="149"/>
      <c r="C374" s="150"/>
      <c r="D374" s="151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</row>
    <row r="375" ht="15.75" customHeight="1">
      <c r="A375" s="149"/>
      <c r="B375" s="149"/>
      <c r="C375" s="150"/>
      <c r="D375" s="151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</row>
    <row r="376" ht="15.75" customHeight="1">
      <c r="A376" s="149"/>
      <c r="B376" s="149"/>
      <c r="C376" s="150"/>
      <c r="D376" s="151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</row>
    <row r="377" ht="15.75" customHeight="1">
      <c r="A377" s="149"/>
      <c r="B377" s="149"/>
      <c r="C377" s="150"/>
      <c r="D377" s="151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</row>
    <row r="378" ht="15.75" customHeight="1">
      <c r="A378" s="149"/>
      <c r="B378" s="149"/>
      <c r="C378" s="150"/>
      <c r="D378" s="151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</row>
    <row r="379" ht="15.75" customHeight="1">
      <c r="A379" s="149"/>
      <c r="B379" s="149"/>
      <c r="C379" s="150"/>
      <c r="D379" s="151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</row>
    <row r="380" ht="15.75" customHeight="1">
      <c r="A380" s="149"/>
      <c r="B380" s="149"/>
      <c r="C380" s="150"/>
      <c r="D380" s="151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</row>
    <row r="381" ht="15.75" customHeight="1">
      <c r="A381" s="149"/>
      <c r="B381" s="149"/>
      <c r="C381" s="150"/>
      <c r="D381" s="151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</row>
    <row r="382" ht="15.75" customHeight="1">
      <c r="A382" s="149"/>
      <c r="B382" s="149"/>
      <c r="C382" s="150"/>
      <c r="D382" s="151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</row>
    <row r="383" ht="15.75" customHeight="1">
      <c r="A383" s="149"/>
      <c r="B383" s="149"/>
      <c r="C383" s="150"/>
      <c r="D383" s="151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</row>
    <row r="384" ht="15.75" customHeight="1">
      <c r="A384" s="149"/>
      <c r="B384" s="149"/>
      <c r="C384" s="150"/>
      <c r="D384" s="151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</row>
    <row r="385" ht="15.75" customHeight="1">
      <c r="A385" s="149"/>
      <c r="B385" s="149"/>
      <c r="C385" s="150"/>
      <c r="D385" s="151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</row>
    <row r="386" ht="15.75" customHeight="1">
      <c r="A386" s="149"/>
      <c r="B386" s="149"/>
      <c r="C386" s="150"/>
      <c r="D386" s="151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</row>
    <row r="387" ht="15.75" customHeight="1">
      <c r="A387" s="149"/>
      <c r="B387" s="149"/>
      <c r="C387" s="150"/>
      <c r="D387" s="151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</row>
    <row r="388" ht="15.75" customHeight="1">
      <c r="A388" s="149"/>
      <c r="B388" s="149"/>
      <c r="C388" s="150"/>
      <c r="D388" s="151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</row>
    <row r="389" ht="15.75" customHeight="1">
      <c r="A389" s="149"/>
      <c r="B389" s="149"/>
      <c r="C389" s="150"/>
      <c r="D389" s="151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</row>
    <row r="390" ht="15.75" customHeight="1">
      <c r="A390" s="149"/>
      <c r="B390" s="149"/>
      <c r="C390" s="150"/>
      <c r="D390" s="151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</row>
    <row r="391" ht="15.75" customHeight="1">
      <c r="A391" s="149"/>
      <c r="B391" s="149"/>
      <c r="C391" s="150"/>
      <c r="D391" s="151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</row>
    <row r="392" ht="15.75" customHeight="1">
      <c r="A392" s="149"/>
      <c r="B392" s="149"/>
      <c r="C392" s="150"/>
      <c r="D392" s="151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</row>
    <row r="393" ht="15.75" customHeight="1">
      <c r="A393" s="149"/>
      <c r="B393" s="149"/>
      <c r="C393" s="150"/>
      <c r="D393" s="151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</row>
    <row r="394" ht="15.75" customHeight="1">
      <c r="A394" s="149"/>
      <c r="B394" s="149"/>
      <c r="C394" s="150"/>
      <c r="D394" s="151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</row>
    <row r="395" ht="15.75" customHeight="1">
      <c r="A395" s="149"/>
      <c r="B395" s="149"/>
      <c r="C395" s="150"/>
      <c r="D395" s="151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</row>
    <row r="396" ht="15.75" customHeight="1">
      <c r="A396" s="149"/>
      <c r="B396" s="149"/>
      <c r="C396" s="150"/>
      <c r="D396" s="151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</row>
    <row r="397" ht="15.75" customHeight="1">
      <c r="A397" s="149"/>
      <c r="B397" s="149"/>
      <c r="C397" s="150"/>
      <c r="D397" s="151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</row>
    <row r="398" ht="15.75" customHeight="1">
      <c r="A398" s="149"/>
      <c r="B398" s="149"/>
      <c r="C398" s="150"/>
      <c r="D398" s="151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</row>
    <row r="399" ht="15.75" customHeight="1">
      <c r="A399" s="149"/>
      <c r="B399" s="149"/>
      <c r="C399" s="150"/>
      <c r="D399" s="151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</row>
    <row r="400" ht="15.75" customHeight="1">
      <c r="A400" s="149"/>
      <c r="B400" s="149"/>
      <c r="C400" s="150"/>
      <c r="D400" s="151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</row>
    <row r="401" ht="15.75" customHeight="1">
      <c r="A401" s="149"/>
      <c r="B401" s="149"/>
      <c r="C401" s="150"/>
      <c r="D401" s="151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</row>
    <row r="402" ht="15.75" customHeight="1">
      <c r="A402" s="149"/>
      <c r="B402" s="149"/>
      <c r="C402" s="150"/>
      <c r="D402" s="151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</row>
    <row r="403" ht="15.75" customHeight="1">
      <c r="A403" s="149"/>
      <c r="B403" s="149"/>
      <c r="C403" s="150"/>
      <c r="D403" s="151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</row>
    <row r="404" ht="15.75" customHeight="1">
      <c r="A404" s="149"/>
      <c r="B404" s="149"/>
      <c r="C404" s="150"/>
      <c r="D404" s="151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</row>
    <row r="405" ht="15.75" customHeight="1">
      <c r="A405" s="149"/>
      <c r="B405" s="149"/>
      <c r="C405" s="150"/>
      <c r="D405" s="151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</row>
    <row r="406" ht="15.75" customHeight="1">
      <c r="A406" s="149"/>
      <c r="B406" s="149"/>
      <c r="C406" s="150"/>
      <c r="D406" s="151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</row>
    <row r="407" ht="15.75" customHeight="1">
      <c r="A407" s="149"/>
      <c r="B407" s="149"/>
      <c r="C407" s="150"/>
      <c r="D407" s="151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</row>
    <row r="408" ht="15.75" customHeight="1">
      <c r="A408" s="149"/>
      <c r="B408" s="149"/>
      <c r="C408" s="150"/>
      <c r="D408" s="151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</row>
    <row r="409" ht="15.75" customHeight="1">
      <c r="A409" s="149"/>
      <c r="B409" s="149"/>
      <c r="C409" s="150"/>
      <c r="D409" s="151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</row>
    <row r="410" ht="15.75" customHeight="1">
      <c r="A410" s="149"/>
      <c r="B410" s="149"/>
      <c r="C410" s="150"/>
      <c r="D410" s="151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</row>
    <row r="411" ht="15.75" customHeight="1">
      <c r="A411" s="149"/>
      <c r="B411" s="149"/>
      <c r="C411" s="150"/>
      <c r="D411" s="151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</row>
    <row r="412" ht="15.75" customHeight="1">
      <c r="A412" s="149"/>
      <c r="B412" s="149"/>
      <c r="C412" s="150"/>
      <c r="D412" s="151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</row>
    <row r="413" ht="15.75" customHeight="1">
      <c r="A413" s="149"/>
      <c r="B413" s="149"/>
      <c r="C413" s="150"/>
      <c r="D413" s="151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</row>
    <row r="414" ht="15.75" customHeight="1">
      <c r="A414" s="149"/>
      <c r="B414" s="149"/>
      <c r="C414" s="150"/>
      <c r="D414" s="151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</row>
    <row r="415" ht="15.75" customHeight="1">
      <c r="A415" s="149"/>
      <c r="B415" s="149"/>
      <c r="C415" s="150"/>
      <c r="D415" s="151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</row>
    <row r="416" ht="15.75" customHeight="1">
      <c r="A416" s="149"/>
      <c r="B416" s="149"/>
      <c r="C416" s="150"/>
      <c r="D416" s="15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</row>
    <row r="417" ht="15.75" customHeight="1">
      <c r="A417" s="149"/>
      <c r="B417" s="149"/>
      <c r="C417" s="150"/>
      <c r="D417" s="151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</row>
    <row r="418" ht="15.75" customHeight="1">
      <c r="A418" s="149"/>
      <c r="B418" s="149"/>
      <c r="C418" s="150"/>
      <c r="D418" s="151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</row>
    <row r="419" ht="15.75" customHeight="1">
      <c r="A419" s="149"/>
      <c r="B419" s="149"/>
      <c r="C419" s="150"/>
      <c r="D419" s="151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</row>
    <row r="420" ht="15.75" customHeight="1">
      <c r="A420" s="149"/>
      <c r="B420" s="149"/>
      <c r="C420" s="150"/>
      <c r="D420" s="151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</row>
    <row r="421" ht="15.75" customHeight="1">
      <c r="A421" s="149"/>
      <c r="B421" s="149"/>
      <c r="C421" s="150"/>
      <c r="D421" s="151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</row>
    <row r="422" ht="15.75" customHeight="1">
      <c r="A422" s="149"/>
      <c r="B422" s="149"/>
      <c r="C422" s="150"/>
      <c r="D422" s="151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</row>
    <row r="423" ht="15.75" customHeight="1">
      <c r="A423" s="149"/>
      <c r="B423" s="149"/>
      <c r="C423" s="150"/>
      <c r="D423" s="151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</row>
    <row r="424" ht="15.75" customHeight="1">
      <c r="A424" s="149"/>
      <c r="B424" s="149"/>
      <c r="C424" s="150"/>
      <c r="D424" s="151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</row>
    <row r="425" ht="15.75" customHeight="1">
      <c r="A425" s="149"/>
      <c r="B425" s="149"/>
      <c r="C425" s="150"/>
      <c r="D425" s="151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</row>
    <row r="426" ht="15.75" customHeight="1">
      <c r="A426" s="149"/>
      <c r="B426" s="149"/>
      <c r="C426" s="150"/>
      <c r="D426" s="151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</row>
    <row r="427" ht="15.75" customHeight="1">
      <c r="A427" s="149"/>
      <c r="B427" s="149"/>
      <c r="C427" s="150"/>
      <c r="D427" s="151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</row>
    <row r="428" ht="15.75" customHeight="1">
      <c r="A428" s="149"/>
      <c r="B428" s="149"/>
      <c r="C428" s="150"/>
      <c r="D428" s="151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</row>
    <row r="429" ht="15.75" customHeight="1">
      <c r="A429" s="149"/>
      <c r="B429" s="149"/>
      <c r="C429" s="150"/>
      <c r="D429" s="151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</row>
    <row r="430" ht="15.75" customHeight="1">
      <c r="A430" s="149"/>
      <c r="B430" s="149"/>
      <c r="C430" s="150"/>
      <c r="D430" s="151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</row>
    <row r="431" ht="15.75" customHeight="1">
      <c r="A431" s="149"/>
      <c r="B431" s="149"/>
      <c r="C431" s="150"/>
      <c r="D431" s="151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</row>
    <row r="432" ht="15.75" customHeight="1">
      <c r="A432" s="149"/>
      <c r="B432" s="149"/>
      <c r="C432" s="150"/>
      <c r="D432" s="151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</row>
    <row r="433" ht="15.75" customHeight="1">
      <c r="A433" s="149"/>
      <c r="B433" s="149"/>
      <c r="C433" s="150"/>
      <c r="D433" s="151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</row>
    <row r="434" ht="15.75" customHeight="1">
      <c r="A434" s="149"/>
      <c r="B434" s="149"/>
      <c r="C434" s="150"/>
      <c r="D434" s="151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</row>
    <row r="435" ht="15.75" customHeight="1">
      <c r="A435" s="149"/>
      <c r="B435" s="149"/>
      <c r="C435" s="150"/>
      <c r="D435" s="151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</row>
    <row r="436" ht="15.75" customHeight="1">
      <c r="A436" s="149"/>
      <c r="B436" s="149"/>
      <c r="C436" s="150"/>
      <c r="D436" s="151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</row>
    <row r="437" ht="15.75" customHeight="1">
      <c r="A437" s="149"/>
      <c r="B437" s="149"/>
      <c r="C437" s="150"/>
      <c r="D437" s="151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</row>
    <row r="438" ht="15.75" customHeight="1">
      <c r="A438" s="149"/>
      <c r="B438" s="149"/>
      <c r="C438" s="150"/>
      <c r="D438" s="151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</row>
    <row r="439" ht="15.75" customHeight="1">
      <c r="A439" s="149"/>
      <c r="B439" s="149"/>
      <c r="C439" s="150"/>
      <c r="D439" s="151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</row>
    <row r="440" ht="15.75" customHeight="1">
      <c r="A440" s="149"/>
      <c r="B440" s="149"/>
      <c r="C440" s="150"/>
      <c r="D440" s="151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</row>
    <row r="441" ht="15.75" customHeight="1">
      <c r="A441" s="149"/>
      <c r="B441" s="149"/>
      <c r="C441" s="150"/>
      <c r="D441" s="151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</row>
    <row r="442" ht="15.75" customHeight="1">
      <c r="A442" s="149"/>
      <c r="B442" s="149"/>
      <c r="C442" s="150"/>
      <c r="D442" s="151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</row>
    <row r="443" ht="15.75" customHeight="1">
      <c r="A443" s="149"/>
      <c r="B443" s="149"/>
      <c r="C443" s="150"/>
      <c r="D443" s="151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</row>
    <row r="444" ht="15.75" customHeight="1">
      <c r="A444" s="149"/>
      <c r="B444" s="149"/>
      <c r="C444" s="150"/>
      <c r="D444" s="151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</row>
    <row r="445" ht="15.75" customHeight="1">
      <c r="A445" s="149"/>
      <c r="B445" s="149"/>
      <c r="C445" s="150"/>
      <c r="D445" s="151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</row>
    <row r="446" ht="15.75" customHeight="1">
      <c r="A446" s="149"/>
      <c r="B446" s="149"/>
      <c r="C446" s="150"/>
      <c r="D446" s="151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</row>
    <row r="447" ht="15.75" customHeight="1">
      <c r="A447" s="149"/>
      <c r="B447" s="149"/>
      <c r="C447" s="150"/>
      <c r="D447" s="151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</row>
    <row r="448" ht="15.75" customHeight="1">
      <c r="A448" s="149"/>
      <c r="B448" s="149"/>
      <c r="C448" s="150"/>
      <c r="D448" s="151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</row>
    <row r="449" ht="15.75" customHeight="1">
      <c r="A449" s="149"/>
      <c r="B449" s="149"/>
      <c r="C449" s="150"/>
      <c r="D449" s="151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</row>
    <row r="450" ht="15.75" customHeight="1">
      <c r="A450" s="149"/>
      <c r="B450" s="149"/>
      <c r="C450" s="150"/>
      <c r="D450" s="151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</row>
    <row r="451" ht="15.75" customHeight="1">
      <c r="A451" s="149"/>
      <c r="B451" s="149"/>
      <c r="C451" s="150"/>
      <c r="D451" s="151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</row>
    <row r="452" ht="15.75" customHeight="1">
      <c r="A452" s="149"/>
      <c r="B452" s="149"/>
      <c r="C452" s="150"/>
      <c r="D452" s="151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</row>
    <row r="453" ht="15.75" customHeight="1">
      <c r="A453" s="149"/>
      <c r="B453" s="149"/>
      <c r="C453" s="150"/>
      <c r="D453" s="151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</row>
    <row r="454" ht="15.75" customHeight="1">
      <c r="A454" s="149"/>
      <c r="B454" s="149"/>
      <c r="C454" s="150"/>
      <c r="D454" s="151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</row>
    <row r="455" ht="15.75" customHeight="1">
      <c r="A455" s="149"/>
      <c r="B455" s="149"/>
      <c r="C455" s="150"/>
      <c r="D455" s="151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</row>
    <row r="456" ht="15.75" customHeight="1">
      <c r="A456" s="149"/>
      <c r="B456" s="149"/>
      <c r="C456" s="150"/>
      <c r="D456" s="151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</row>
    <row r="457" ht="15.75" customHeight="1">
      <c r="A457" s="149"/>
      <c r="B457" s="149"/>
      <c r="C457" s="150"/>
      <c r="D457" s="151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</row>
    <row r="458" ht="15.75" customHeight="1">
      <c r="A458" s="149"/>
      <c r="B458" s="149"/>
      <c r="C458" s="150"/>
      <c r="D458" s="151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</row>
    <row r="459" ht="15.75" customHeight="1">
      <c r="A459" s="149"/>
      <c r="B459" s="149"/>
      <c r="C459" s="150"/>
      <c r="D459" s="151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</row>
    <row r="460" ht="15.75" customHeight="1">
      <c r="A460" s="149"/>
      <c r="B460" s="149"/>
      <c r="C460" s="150"/>
      <c r="D460" s="151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</row>
    <row r="461" ht="15.75" customHeight="1">
      <c r="A461" s="149"/>
      <c r="B461" s="149"/>
      <c r="C461" s="150"/>
      <c r="D461" s="151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</row>
    <row r="462" ht="15.75" customHeight="1">
      <c r="A462" s="149"/>
      <c r="B462" s="149"/>
      <c r="C462" s="150"/>
      <c r="D462" s="151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</row>
    <row r="463" ht="15.75" customHeight="1">
      <c r="A463" s="149"/>
      <c r="B463" s="149"/>
      <c r="C463" s="150"/>
      <c r="D463" s="151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</row>
    <row r="464" ht="15.75" customHeight="1">
      <c r="A464" s="149"/>
      <c r="B464" s="149"/>
      <c r="C464" s="150"/>
      <c r="D464" s="151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</row>
    <row r="465" ht="15.75" customHeight="1">
      <c r="A465" s="149"/>
      <c r="B465" s="149"/>
      <c r="C465" s="150"/>
      <c r="D465" s="151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</row>
    <row r="466" ht="15.75" customHeight="1">
      <c r="A466" s="149"/>
      <c r="B466" s="149"/>
      <c r="C466" s="150"/>
      <c r="D466" s="151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</row>
    <row r="467" ht="15.75" customHeight="1">
      <c r="A467" s="149"/>
      <c r="B467" s="149"/>
      <c r="C467" s="150"/>
      <c r="D467" s="151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</row>
    <row r="468" ht="15.75" customHeight="1">
      <c r="A468" s="149"/>
      <c r="B468" s="149"/>
      <c r="C468" s="150"/>
      <c r="D468" s="151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</row>
    <row r="469" ht="15.75" customHeight="1">
      <c r="A469" s="149"/>
      <c r="B469" s="149"/>
      <c r="C469" s="150"/>
      <c r="D469" s="151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</row>
    <row r="470" ht="15.75" customHeight="1">
      <c r="A470" s="149"/>
      <c r="B470" s="149"/>
      <c r="C470" s="150"/>
      <c r="D470" s="151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</row>
    <row r="471" ht="15.75" customHeight="1">
      <c r="A471" s="149"/>
      <c r="B471" s="149"/>
      <c r="C471" s="150"/>
      <c r="D471" s="151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</row>
    <row r="472" ht="15.75" customHeight="1">
      <c r="A472" s="149"/>
      <c r="B472" s="149"/>
      <c r="C472" s="150"/>
      <c r="D472" s="151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</row>
    <row r="473" ht="15.75" customHeight="1">
      <c r="A473" s="149"/>
      <c r="B473" s="149"/>
      <c r="C473" s="150"/>
      <c r="D473" s="151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</row>
    <row r="474" ht="15.75" customHeight="1">
      <c r="A474" s="149"/>
      <c r="B474" s="149"/>
      <c r="C474" s="150"/>
      <c r="D474" s="151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</row>
    <row r="475" ht="15.75" customHeight="1">
      <c r="A475" s="149"/>
      <c r="B475" s="149"/>
      <c r="C475" s="150"/>
      <c r="D475" s="151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</row>
    <row r="476" ht="15.75" customHeight="1">
      <c r="A476" s="149"/>
      <c r="B476" s="149"/>
      <c r="C476" s="150"/>
      <c r="D476" s="151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</row>
    <row r="477" ht="15.75" customHeight="1">
      <c r="A477" s="149"/>
      <c r="B477" s="149"/>
      <c r="C477" s="150"/>
      <c r="D477" s="151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</row>
    <row r="478" ht="15.75" customHeight="1">
      <c r="A478" s="149"/>
      <c r="B478" s="149"/>
      <c r="C478" s="150"/>
      <c r="D478" s="151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</row>
    <row r="479" ht="15.75" customHeight="1">
      <c r="A479" s="149"/>
      <c r="B479" s="149"/>
      <c r="C479" s="150"/>
      <c r="D479" s="151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</row>
    <row r="480" ht="15.75" customHeight="1">
      <c r="A480" s="149"/>
      <c r="B480" s="149"/>
      <c r="C480" s="150"/>
      <c r="D480" s="151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</row>
    <row r="481" ht="15.75" customHeight="1">
      <c r="A481" s="149"/>
      <c r="B481" s="149"/>
      <c r="C481" s="150"/>
      <c r="D481" s="151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</row>
    <row r="482" ht="15.75" customHeight="1">
      <c r="A482" s="149"/>
      <c r="B482" s="149"/>
      <c r="C482" s="150"/>
      <c r="D482" s="151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</row>
    <row r="483" ht="15.75" customHeight="1">
      <c r="A483" s="149"/>
      <c r="B483" s="149"/>
      <c r="C483" s="150"/>
      <c r="D483" s="15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</row>
    <row r="484" ht="15.75" customHeight="1">
      <c r="A484" s="149"/>
      <c r="B484" s="149"/>
      <c r="C484" s="150"/>
      <c r="D484" s="151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</row>
    <row r="485" ht="15.75" customHeight="1">
      <c r="A485" s="149"/>
      <c r="B485" s="149"/>
      <c r="C485" s="150"/>
      <c r="D485" s="151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</row>
    <row r="486" ht="15.75" customHeight="1">
      <c r="A486" s="149"/>
      <c r="B486" s="149"/>
      <c r="C486" s="150"/>
      <c r="D486" s="151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</row>
    <row r="487" ht="15.75" customHeight="1">
      <c r="A487" s="149"/>
      <c r="B487" s="149"/>
      <c r="C487" s="150"/>
      <c r="D487" s="151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</row>
    <row r="488" ht="15.75" customHeight="1">
      <c r="A488" s="149"/>
      <c r="B488" s="149"/>
      <c r="C488" s="150"/>
      <c r="D488" s="151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</row>
    <row r="489" ht="15.75" customHeight="1">
      <c r="A489" s="149"/>
      <c r="B489" s="149"/>
      <c r="C489" s="150"/>
      <c r="D489" s="151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</row>
    <row r="490" ht="15.75" customHeight="1">
      <c r="A490" s="149"/>
      <c r="B490" s="149"/>
      <c r="C490" s="150"/>
      <c r="D490" s="151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</row>
    <row r="491" ht="15.75" customHeight="1">
      <c r="A491" s="149"/>
      <c r="B491" s="149"/>
      <c r="C491" s="150"/>
      <c r="D491" s="151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</row>
    <row r="492" ht="15.75" customHeight="1">
      <c r="A492" s="149"/>
      <c r="B492" s="149"/>
      <c r="C492" s="150"/>
      <c r="D492" s="151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</row>
    <row r="493" ht="15.75" customHeight="1">
      <c r="A493" s="149"/>
      <c r="B493" s="149"/>
      <c r="C493" s="150"/>
      <c r="D493" s="151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</row>
    <row r="494" ht="15.75" customHeight="1">
      <c r="A494" s="149"/>
      <c r="B494" s="149"/>
      <c r="C494" s="150"/>
      <c r="D494" s="151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</row>
    <row r="495" ht="15.75" customHeight="1">
      <c r="A495" s="149"/>
      <c r="B495" s="149"/>
      <c r="C495" s="150"/>
      <c r="D495" s="151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</row>
    <row r="496" ht="15.75" customHeight="1">
      <c r="A496" s="149"/>
      <c r="B496" s="149"/>
      <c r="C496" s="150"/>
      <c r="D496" s="151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</row>
    <row r="497" ht="15.75" customHeight="1">
      <c r="A497" s="149"/>
      <c r="B497" s="149"/>
      <c r="C497" s="150"/>
      <c r="D497" s="151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</row>
    <row r="498" ht="15.75" customHeight="1">
      <c r="A498" s="149"/>
      <c r="B498" s="149"/>
      <c r="C498" s="150"/>
      <c r="D498" s="151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</row>
    <row r="499" ht="15.75" customHeight="1">
      <c r="A499" s="149"/>
      <c r="B499" s="149"/>
      <c r="C499" s="150"/>
      <c r="D499" s="151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</row>
    <row r="500" ht="15.75" customHeight="1">
      <c r="A500" s="149"/>
      <c r="B500" s="149"/>
      <c r="C500" s="150"/>
      <c r="D500" s="151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</row>
    <row r="501" ht="15.75" customHeight="1">
      <c r="A501" s="149"/>
      <c r="B501" s="149"/>
      <c r="C501" s="150"/>
      <c r="D501" s="151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</row>
    <row r="502" ht="15.75" customHeight="1">
      <c r="A502" s="149"/>
      <c r="B502" s="149"/>
      <c r="C502" s="150"/>
      <c r="D502" s="151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</row>
    <row r="503" ht="15.75" customHeight="1">
      <c r="A503" s="149"/>
      <c r="B503" s="149"/>
      <c r="C503" s="150"/>
      <c r="D503" s="151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</row>
    <row r="504" ht="15.75" customHeight="1">
      <c r="A504" s="149"/>
      <c r="B504" s="149"/>
      <c r="C504" s="150"/>
      <c r="D504" s="151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</row>
    <row r="505" ht="15.75" customHeight="1">
      <c r="A505" s="149"/>
      <c r="B505" s="149"/>
      <c r="C505" s="150"/>
      <c r="D505" s="151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</row>
    <row r="506" ht="15.75" customHeight="1">
      <c r="A506" s="149"/>
      <c r="B506" s="149"/>
      <c r="C506" s="150"/>
      <c r="D506" s="151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</row>
    <row r="507" ht="15.75" customHeight="1">
      <c r="A507" s="149"/>
      <c r="B507" s="149"/>
      <c r="C507" s="150"/>
      <c r="D507" s="151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</row>
    <row r="508" ht="15.75" customHeight="1">
      <c r="A508" s="149"/>
      <c r="B508" s="149"/>
      <c r="C508" s="150"/>
      <c r="D508" s="151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</row>
    <row r="509" ht="15.75" customHeight="1">
      <c r="A509" s="149"/>
      <c r="B509" s="149"/>
      <c r="C509" s="150"/>
      <c r="D509" s="151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</row>
    <row r="510" ht="15.75" customHeight="1">
      <c r="A510" s="149"/>
      <c r="B510" s="149"/>
      <c r="C510" s="150"/>
      <c r="D510" s="151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</row>
    <row r="511" ht="15.75" customHeight="1">
      <c r="A511" s="149"/>
      <c r="B511" s="149"/>
      <c r="C511" s="150"/>
      <c r="D511" s="151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</row>
    <row r="512" ht="15.75" customHeight="1">
      <c r="A512" s="149"/>
      <c r="B512" s="149"/>
      <c r="C512" s="150"/>
      <c r="D512" s="151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</row>
    <row r="513" ht="15.75" customHeight="1">
      <c r="A513" s="149"/>
      <c r="B513" s="149"/>
      <c r="C513" s="150"/>
      <c r="D513" s="151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</row>
    <row r="514" ht="15.75" customHeight="1">
      <c r="A514" s="149"/>
      <c r="B514" s="149"/>
      <c r="C514" s="150"/>
      <c r="D514" s="151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</row>
    <row r="515" ht="15.75" customHeight="1">
      <c r="A515" s="149"/>
      <c r="B515" s="149"/>
      <c r="C515" s="150"/>
      <c r="D515" s="151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</row>
    <row r="516" ht="15.75" customHeight="1">
      <c r="A516" s="149"/>
      <c r="B516" s="149"/>
      <c r="C516" s="150"/>
      <c r="D516" s="151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</row>
    <row r="517" ht="15.75" customHeight="1">
      <c r="A517" s="149"/>
      <c r="B517" s="149"/>
      <c r="C517" s="150"/>
      <c r="D517" s="151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</row>
    <row r="518" ht="15.75" customHeight="1">
      <c r="A518" s="149"/>
      <c r="B518" s="149"/>
      <c r="C518" s="150"/>
      <c r="D518" s="151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</row>
    <row r="519" ht="15.75" customHeight="1">
      <c r="A519" s="149"/>
      <c r="B519" s="149"/>
      <c r="C519" s="150"/>
      <c r="D519" s="151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</row>
    <row r="520" ht="15.75" customHeight="1">
      <c r="A520" s="149"/>
      <c r="B520" s="149"/>
      <c r="C520" s="150"/>
      <c r="D520" s="151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</row>
    <row r="521" ht="15.75" customHeight="1">
      <c r="A521" s="149"/>
      <c r="B521" s="149"/>
      <c r="C521" s="150"/>
      <c r="D521" s="151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</row>
    <row r="522" ht="15.75" customHeight="1">
      <c r="A522" s="149"/>
      <c r="B522" s="149"/>
      <c r="C522" s="150"/>
      <c r="D522" s="151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</row>
    <row r="523" ht="15.75" customHeight="1">
      <c r="A523" s="149"/>
      <c r="B523" s="149"/>
      <c r="C523" s="150"/>
      <c r="D523" s="151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</row>
    <row r="524" ht="15.75" customHeight="1">
      <c r="A524" s="149"/>
      <c r="B524" s="149"/>
      <c r="C524" s="150"/>
      <c r="D524" s="151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</row>
    <row r="525" ht="15.75" customHeight="1">
      <c r="A525" s="149"/>
      <c r="B525" s="149"/>
      <c r="C525" s="150"/>
      <c r="D525" s="151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</row>
    <row r="526" ht="15.75" customHeight="1">
      <c r="A526" s="149"/>
      <c r="B526" s="149"/>
      <c r="C526" s="150"/>
      <c r="D526" s="151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</row>
    <row r="527" ht="15.75" customHeight="1">
      <c r="A527" s="149"/>
      <c r="B527" s="149"/>
      <c r="C527" s="150"/>
      <c r="D527" s="151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</row>
    <row r="528" ht="15.75" customHeight="1">
      <c r="A528" s="149"/>
      <c r="B528" s="149"/>
      <c r="C528" s="150"/>
      <c r="D528" s="151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</row>
    <row r="529" ht="15.75" customHeight="1">
      <c r="A529" s="149"/>
      <c r="B529" s="149"/>
      <c r="C529" s="150"/>
      <c r="D529" s="151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</row>
    <row r="530" ht="15.75" customHeight="1">
      <c r="A530" s="149"/>
      <c r="B530" s="149"/>
      <c r="C530" s="150"/>
      <c r="D530" s="151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</row>
    <row r="531" ht="15.75" customHeight="1">
      <c r="A531" s="149"/>
      <c r="B531" s="149"/>
      <c r="C531" s="150"/>
      <c r="D531" s="151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</row>
    <row r="532" ht="15.75" customHeight="1">
      <c r="A532" s="149"/>
      <c r="B532" s="149"/>
      <c r="C532" s="150"/>
      <c r="D532" s="151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</row>
    <row r="533" ht="15.75" customHeight="1">
      <c r="A533" s="149"/>
      <c r="B533" s="149"/>
      <c r="C533" s="150"/>
      <c r="D533" s="151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</row>
    <row r="534" ht="15.75" customHeight="1">
      <c r="A534" s="149"/>
      <c r="B534" s="149"/>
      <c r="C534" s="150"/>
      <c r="D534" s="151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</row>
    <row r="535" ht="15.75" customHeight="1">
      <c r="A535" s="149"/>
      <c r="B535" s="149"/>
      <c r="C535" s="150"/>
      <c r="D535" s="151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</row>
    <row r="536" ht="15.75" customHeight="1">
      <c r="A536" s="149"/>
      <c r="B536" s="149"/>
      <c r="C536" s="150"/>
      <c r="D536" s="151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</row>
    <row r="537" ht="15.75" customHeight="1">
      <c r="A537" s="149"/>
      <c r="B537" s="149"/>
      <c r="C537" s="150"/>
      <c r="D537" s="151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</row>
    <row r="538" ht="15.75" customHeight="1">
      <c r="A538" s="149"/>
      <c r="B538" s="149"/>
      <c r="C538" s="150"/>
      <c r="D538" s="151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</row>
    <row r="539" ht="15.75" customHeight="1">
      <c r="A539" s="149"/>
      <c r="B539" s="149"/>
      <c r="C539" s="150"/>
      <c r="D539" s="151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</row>
    <row r="540" ht="15.75" customHeight="1">
      <c r="A540" s="149"/>
      <c r="B540" s="149"/>
      <c r="C540" s="150"/>
      <c r="D540" s="151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</row>
    <row r="541" ht="15.75" customHeight="1">
      <c r="A541" s="149"/>
      <c r="B541" s="149"/>
      <c r="C541" s="150"/>
      <c r="D541" s="151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</row>
    <row r="542" ht="15.75" customHeight="1">
      <c r="A542" s="149"/>
      <c r="B542" s="149"/>
      <c r="C542" s="150"/>
      <c r="D542" s="151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</row>
    <row r="543" ht="15.75" customHeight="1">
      <c r="A543" s="149"/>
      <c r="B543" s="149"/>
      <c r="C543" s="150"/>
      <c r="D543" s="151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</row>
    <row r="544" ht="15.75" customHeight="1">
      <c r="A544" s="149"/>
      <c r="B544" s="149"/>
      <c r="C544" s="150"/>
      <c r="D544" s="151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</row>
    <row r="545" ht="15.75" customHeight="1">
      <c r="A545" s="149"/>
      <c r="B545" s="149"/>
      <c r="C545" s="150"/>
      <c r="D545" s="151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</row>
    <row r="546" ht="15.75" customHeight="1">
      <c r="A546" s="149"/>
      <c r="B546" s="149"/>
      <c r="C546" s="150"/>
      <c r="D546" s="151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</row>
    <row r="547" ht="15.75" customHeight="1">
      <c r="A547" s="149"/>
      <c r="B547" s="149"/>
      <c r="C547" s="150"/>
      <c r="D547" s="151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</row>
    <row r="548" ht="15.75" customHeight="1">
      <c r="A548" s="149"/>
      <c r="B548" s="149"/>
      <c r="C548" s="150"/>
      <c r="D548" s="151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</row>
    <row r="549" ht="15.75" customHeight="1">
      <c r="A549" s="149"/>
      <c r="B549" s="149"/>
      <c r="C549" s="150"/>
      <c r="D549" s="151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</row>
    <row r="550" ht="15.75" customHeight="1">
      <c r="A550" s="149"/>
      <c r="B550" s="149"/>
      <c r="C550" s="150"/>
      <c r="D550" s="15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</row>
    <row r="551" ht="15.75" customHeight="1">
      <c r="A551" s="149"/>
      <c r="B551" s="149"/>
      <c r="C551" s="150"/>
      <c r="D551" s="151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</row>
    <row r="552" ht="15.75" customHeight="1">
      <c r="A552" s="149"/>
      <c r="B552" s="149"/>
      <c r="C552" s="150"/>
      <c r="D552" s="151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</row>
    <row r="553" ht="15.75" customHeight="1">
      <c r="A553" s="149"/>
      <c r="B553" s="149"/>
      <c r="C553" s="150"/>
      <c r="D553" s="151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</row>
    <row r="554" ht="15.75" customHeight="1">
      <c r="A554" s="149"/>
      <c r="B554" s="149"/>
      <c r="C554" s="150"/>
      <c r="D554" s="151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</row>
    <row r="555" ht="15.75" customHeight="1">
      <c r="A555" s="149"/>
      <c r="B555" s="149"/>
      <c r="C555" s="150"/>
      <c r="D555" s="151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</row>
    <row r="556" ht="15.75" customHeight="1">
      <c r="A556" s="149"/>
      <c r="B556" s="149"/>
      <c r="C556" s="150"/>
      <c r="D556" s="151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</row>
    <row r="557" ht="15.75" customHeight="1">
      <c r="A557" s="149"/>
      <c r="B557" s="149"/>
      <c r="C557" s="150"/>
      <c r="D557" s="151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</row>
    <row r="558" ht="15.75" customHeight="1">
      <c r="A558" s="149"/>
      <c r="B558" s="149"/>
      <c r="C558" s="150"/>
      <c r="D558" s="151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</row>
    <row r="559" ht="15.75" customHeight="1">
      <c r="A559" s="149"/>
      <c r="B559" s="149"/>
      <c r="C559" s="150"/>
      <c r="D559" s="151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</row>
    <row r="560" ht="15.75" customHeight="1">
      <c r="A560" s="149"/>
      <c r="B560" s="149"/>
      <c r="C560" s="150"/>
      <c r="D560" s="151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</row>
    <row r="561" ht="15.75" customHeight="1">
      <c r="A561" s="149"/>
      <c r="B561" s="149"/>
      <c r="C561" s="150"/>
      <c r="D561" s="151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</row>
    <row r="562" ht="15.75" customHeight="1">
      <c r="A562" s="149"/>
      <c r="B562" s="149"/>
      <c r="C562" s="150"/>
      <c r="D562" s="151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</row>
    <row r="563" ht="15.75" customHeight="1">
      <c r="A563" s="149"/>
      <c r="B563" s="149"/>
      <c r="C563" s="150"/>
      <c r="D563" s="151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</row>
    <row r="564" ht="15.75" customHeight="1">
      <c r="A564" s="149"/>
      <c r="B564" s="149"/>
      <c r="C564" s="150"/>
      <c r="D564" s="151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</row>
    <row r="565" ht="15.75" customHeight="1">
      <c r="A565" s="149"/>
      <c r="B565" s="149"/>
      <c r="C565" s="150"/>
      <c r="D565" s="151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</row>
    <row r="566" ht="15.75" customHeight="1">
      <c r="A566" s="149"/>
      <c r="B566" s="149"/>
      <c r="C566" s="150"/>
      <c r="D566" s="151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</row>
    <row r="567" ht="15.75" customHeight="1">
      <c r="A567" s="149"/>
      <c r="B567" s="149"/>
      <c r="C567" s="150"/>
      <c r="D567" s="151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</row>
    <row r="568" ht="15.75" customHeight="1">
      <c r="A568" s="149"/>
      <c r="B568" s="149"/>
      <c r="C568" s="150"/>
      <c r="D568" s="151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</row>
    <row r="569" ht="15.75" customHeight="1">
      <c r="A569" s="149"/>
      <c r="B569" s="149"/>
      <c r="C569" s="150"/>
      <c r="D569" s="151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</row>
    <row r="570" ht="15.75" customHeight="1">
      <c r="A570" s="149"/>
      <c r="B570" s="149"/>
      <c r="C570" s="150"/>
      <c r="D570" s="151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</row>
    <row r="571" ht="15.75" customHeight="1">
      <c r="A571" s="149"/>
      <c r="B571" s="149"/>
      <c r="C571" s="150"/>
      <c r="D571" s="151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</row>
    <row r="572" ht="15.75" customHeight="1">
      <c r="A572" s="149"/>
      <c r="B572" s="149"/>
      <c r="C572" s="150"/>
      <c r="D572" s="151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</row>
    <row r="573" ht="15.75" customHeight="1">
      <c r="A573" s="149"/>
      <c r="B573" s="149"/>
      <c r="C573" s="150"/>
      <c r="D573" s="151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</row>
    <row r="574" ht="15.75" customHeight="1">
      <c r="A574" s="149"/>
      <c r="B574" s="149"/>
      <c r="C574" s="150"/>
      <c r="D574" s="151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</row>
    <row r="575" ht="15.75" customHeight="1">
      <c r="A575" s="149"/>
      <c r="B575" s="149"/>
      <c r="C575" s="150"/>
      <c r="D575" s="151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</row>
    <row r="576" ht="15.75" customHeight="1">
      <c r="A576" s="149"/>
      <c r="B576" s="149"/>
      <c r="C576" s="150"/>
      <c r="D576" s="151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</row>
    <row r="577" ht="15.75" customHeight="1">
      <c r="A577" s="149"/>
      <c r="B577" s="149"/>
      <c r="C577" s="150"/>
      <c r="D577" s="151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</row>
    <row r="578" ht="15.75" customHeight="1">
      <c r="A578" s="149"/>
      <c r="B578" s="149"/>
      <c r="C578" s="150"/>
      <c r="D578" s="151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</row>
    <row r="579" ht="15.75" customHeight="1">
      <c r="A579" s="149"/>
      <c r="B579" s="149"/>
      <c r="C579" s="150"/>
      <c r="D579" s="151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</row>
    <row r="580" ht="15.75" customHeight="1">
      <c r="A580" s="149"/>
      <c r="B580" s="149"/>
      <c r="C580" s="150"/>
      <c r="D580" s="151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</row>
    <row r="581" ht="15.75" customHeight="1">
      <c r="A581" s="149"/>
      <c r="B581" s="149"/>
      <c r="C581" s="150"/>
      <c r="D581" s="151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</row>
    <row r="582" ht="15.75" customHeight="1">
      <c r="A582" s="149"/>
      <c r="B582" s="149"/>
      <c r="C582" s="150"/>
      <c r="D582" s="151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</row>
    <row r="583" ht="15.75" customHeight="1">
      <c r="A583" s="149"/>
      <c r="B583" s="149"/>
      <c r="C583" s="150"/>
      <c r="D583" s="151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</row>
    <row r="584" ht="15.75" customHeight="1">
      <c r="A584" s="149"/>
      <c r="B584" s="149"/>
      <c r="C584" s="150"/>
      <c r="D584" s="151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</row>
    <row r="585" ht="15.75" customHeight="1">
      <c r="A585" s="149"/>
      <c r="B585" s="149"/>
      <c r="C585" s="150"/>
      <c r="D585" s="151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</row>
    <row r="586" ht="15.75" customHeight="1">
      <c r="A586" s="149"/>
      <c r="B586" s="149"/>
      <c r="C586" s="150"/>
      <c r="D586" s="151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</row>
    <row r="587" ht="15.75" customHeight="1">
      <c r="A587" s="149"/>
      <c r="B587" s="149"/>
      <c r="C587" s="150"/>
      <c r="D587" s="151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</row>
    <row r="588" ht="15.75" customHeight="1">
      <c r="A588" s="149"/>
      <c r="B588" s="149"/>
      <c r="C588" s="150"/>
      <c r="D588" s="151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</row>
    <row r="589" ht="15.75" customHeight="1">
      <c r="A589" s="149"/>
      <c r="B589" s="149"/>
      <c r="C589" s="150"/>
      <c r="D589" s="151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</row>
    <row r="590" ht="15.75" customHeight="1">
      <c r="A590" s="149"/>
      <c r="B590" s="149"/>
      <c r="C590" s="150"/>
      <c r="D590" s="151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</row>
    <row r="591" ht="15.75" customHeight="1">
      <c r="A591" s="149"/>
      <c r="B591" s="149"/>
      <c r="C591" s="150"/>
      <c r="D591" s="151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</row>
    <row r="592" ht="15.75" customHeight="1">
      <c r="A592" s="149"/>
      <c r="B592" s="149"/>
      <c r="C592" s="150"/>
      <c r="D592" s="151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</row>
    <row r="593" ht="15.75" customHeight="1">
      <c r="A593" s="149"/>
      <c r="B593" s="149"/>
      <c r="C593" s="150"/>
      <c r="D593" s="151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</row>
    <row r="594" ht="15.75" customHeight="1">
      <c r="A594" s="149"/>
      <c r="B594" s="149"/>
      <c r="C594" s="150"/>
      <c r="D594" s="151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</row>
    <row r="595" ht="15.75" customHeight="1">
      <c r="A595" s="149"/>
      <c r="B595" s="149"/>
      <c r="C595" s="150"/>
      <c r="D595" s="151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</row>
    <row r="596" ht="15.75" customHeight="1">
      <c r="A596" s="149"/>
      <c r="B596" s="149"/>
      <c r="C596" s="150"/>
      <c r="D596" s="151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</row>
    <row r="597" ht="15.75" customHeight="1">
      <c r="A597" s="149"/>
      <c r="B597" s="149"/>
      <c r="C597" s="150"/>
      <c r="D597" s="151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</row>
    <row r="598" ht="15.75" customHeight="1">
      <c r="A598" s="149"/>
      <c r="B598" s="149"/>
      <c r="C598" s="150"/>
      <c r="D598" s="151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</row>
    <row r="599" ht="15.75" customHeight="1">
      <c r="A599" s="149"/>
      <c r="B599" s="149"/>
      <c r="C599" s="150"/>
      <c r="D599" s="151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</row>
    <row r="600" ht="15.75" customHeight="1">
      <c r="A600" s="149"/>
      <c r="B600" s="149"/>
      <c r="C600" s="150"/>
      <c r="D600" s="151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</row>
    <row r="601" ht="15.75" customHeight="1">
      <c r="A601" s="149"/>
      <c r="B601" s="149"/>
      <c r="C601" s="150"/>
      <c r="D601" s="151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</row>
    <row r="602" ht="15.75" customHeight="1">
      <c r="A602" s="149"/>
      <c r="B602" s="149"/>
      <c r="C602" s="150"/>
      <c r="D602" s="151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</row>
    <row r="603" ht="15.75" customHeight="1">
      <c r="A603" s="149"/>
      <c r="B603" s="149"/>
      <c r="C603" s="150"/>
      <c r="D603" s="151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</row>
    <row r="604" ht="15.75" customHeight="1">
      <c r="A604" s="149"/>
      <c r="B604" s="149"/>
      <c r="C604" s="150"/>
      <c r="D604" s="151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</row>
    <row r="605" ht="15.75" customHeight="1">
      <c r="A605" s="149"/>
      <c r="B605" s="149"/>
      <c r="C605" s="150"/>
      <c r="D605" s="151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</row>
    <row r="606" ht="15.75" customHeight="1">
      <c r="A606" s="149"/>
      <c r="B606" s="149"/>
      <c r="C606" s="150"/>
      <c r="D606" s="151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</row>
    <row r="607" ht="15.75" customHeight="1">
      <c r="A607" s="149"/>
      <c r="B607" s="149"/>
      <c r="C607" s="150"/>
      <c r="D607" s="151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</row>
    <row r="608" ht="15.75" customHeight="1">
      <c r="A608" s="149"/>
      <c r="B608" s="149"/>
      <c r="C608" s="150"/>
      <c r="D608" s="151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</row>
    <row r="609" ht="15.75" customHeight="1">
      <c r="A609" s="149"/>
      <c r="B609" s="149"/>
      <c r="C609" s="150"/>
      <c r="D609" s="151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</row>
    <row r="610" ht="15.75" customHeight="1">
      <c r="A610" s="149"/>
      <c r="B610" s="149"/>
      <c r="C610" s="150"/>
      <c r="D610" s="151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</row>
    <row r="611" ht="15.75" customHeight="1">
      <c r="A611" s="149"/>
      <c r="B611" s="149"/>
      <c r="C611" s="150"/>
      <c r="D611" s="151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</row>
    <row r="612" ht="15.75" customHeight="1">
      <c r="A612" s="149"/>
      <c r="B612" s="149"/>
      <c r="C612" s="150"/>
      <c r="D612" s="151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</row>
    <row r="613" ht="15.75" customHeight="1">
      <c r="A613" s="149"/>
      <c r="B613" s="149"/>
      <c r="C613" s="150"/>
      <c r="D613" s="151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</row>
    <row r="614" ht="15.75" customHeight="1">
      <c r="A614" s="149"/>
      <c r="B614" s="149"/>
      <c r="C614" s="150"/>
      <c r="D614" s="151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</row>
    <row r="615" ht="15.75" customHeight="1">
      <c r="A615" s="149"/>
      <c r="B615" s="149"/>
      <c r="C615" s="150"/>
      <c r="D615" s="151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</row>
    <row r="616" ht="15.75" customHeight="1">
      <c r="A616" s="149"/>
      <c r="B616" s="149"/>
      <c r="C616" s="150"/>
      <c r="D616" s="151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</row>
    <row r="617" ht="15.75" customHeight="1">
      <c r="A617" s="149"/>
      <c r="B617" s="149"/>
      <c r="C617" s="150"/>
      <c r="D617" s="15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</row>
    <row r="618" ht="15.75" customHeight="1">
      <c r="A618" s="149"/>
      <c r="B618" s="149"/>
      <c r="C618" s="150"/>
      <c r="D618" s="151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</row>
    <row r="619" ht="15.75" customHeight="1">
      <c r="A619" s="149"/>
      <c r="B619" s="149"/>
      <c r="C619" s="150"/>
      <c r="D619" s="151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</row>
    <row r="620" ht="15.75" customHeight="1">
      <c r="A620" s="149"/>
      <c r="B620" s="149"/>
      <c r="C620" s="150"/>
      <c r="D620" s="151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</row>
    <row r="621" ht="15.75" customHeight="1">
      <c r="A621" s="149"/>
      <c r="B621" s="149"/>
      <c r="C621" s="150"/>
      <c r="D621" s="151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</row>
    <row r="622" ht="15.75" customHeight="1">
      <c r="A622" s="149"/>
      <c r="B622" s="149"/>
      <c r="C622" s="150"/>
      <c r="D622" s="151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</row>
    <row r="623" ht="15.75" customHeight="1">
      <c r="A623" s="149"/>
      <c r="B623" s="149"/>
      <c r="C623" s="150"/>
      <c r="D623" s="151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</row>
    <row r="624" ht="15.75" customHeight="1">
      <c r="A624" s="149"/>
      <c r="B624" s="149"/>
      <c r="C624" s="150"/>
      <c r="D624" s="151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</row>
    <row r="625" ht="15.75" customHeight="1">
      <c r="A625" s="149"/>
      <c r="B625" s="149"/>
      <c r="C625" s="150"/>
      <c r="D625" s="151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</row>
    <row r="626" ht="15.75" customHeight="1">
      <c r="A626" s="149"/>
      <c r="B626" s="149"/>
      <c r="C626" s="150"/>
      <c r="D626" s="151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</row>
    <row r="627" ht="15.75" customHeight="1">
      <c r="A627" s="149"/>
      <c r="B627" s="149"/>
      <c r="C627" s="150"/>
      <c r="D627" s="151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</row>
    <row r="628" ht="15.75" customHeight="1">
      <c r="A628" s="149"/>
      <c r="B628" s="149"/>
      <c r="C628" s="150"/>
      <c r="D628" s="151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</row>
    <row r="629" ht="15.75" customHeight="1">
      <c r="A629" s="149"/>
      <c r="B629" s="149"/>
      <c r="C629" s="150"/>
      <c r="D629" s="151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</row>
    <row r="630" ht="15.75" customHeight="1">
      <c r="A630" s="149"/>
      <c r="B630" s="149"/>
      <c r="C630" s="150"/>
      <c r="D630" s="151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</row>
    <row r="631" ht="15.75" customHeight="1">
      <c r="A631" s="149"/>
      <c r="B631" s="149"/>
      <c r="C631" s="150"/>
      <c r="D631" s="151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</row>
    <row r="632" ht="15.75" customHeight="1">
      <c r="A632" s="149"/>
      <c r="B632" s="149"/>
      <c r="C632" s="150"/>
      <c r="D632" s="151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</row>
    <row r="633" ht="15.75" customHeight="1">
      <c r="A633" s="149"/>
      <c r="B633" s="149"/>
      <c r="C633" s="150"/>
      <c r="D633" s="151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</row>
    <row r="634" ht="15.75" customHeight="1">
      <c r="A634" s="149"/>
      <c r="B634" s="149"/>
      <c r="C634" s="150"/>
      <c r="D634" s="151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</row>
    <row r="635" ht="15.75" customHeight="1">
      <c r="A635" s="149"/>
      <c r="B635" s="149"/>
      <c r="C635" s="150"/>
      <c r="D635" s="151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</row>
    <row r="636" ht="15.75" customHeight="1">
      <c r="A636" s="149"/>
      <c r="B636" s="149"/>
      <c r="C636" s="150"/>
      <c r="D636" s="151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</row>
    <row r="637" ht="15.75" customHeight="1">
      <c r="A637" s="149"/>
      <c r="B637" s="149"/>
      <c r="C637" s="150"/>
      <c r="D637" s="151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</row>
    <row r="638" ht="15.75" customHeight="1">
      <c r="A638" s="149"/>
      <c r="B638" s="149"/>
      <c r="C638" s="150"/>
      <c r="D638" s="151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</row>
    <row r="639" ht="15.75" customHeight="1">
      <c r="A639" s="149"/>
      <c r="B639" s="149"/>
      <c r="C639" s="150"/>
      <c r="D639" s="151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</row>
    <row r="640" ht="15.75" customHeight="1">
      <c r="A640" s="149"/>
      <c r="B640" s="149"/>
      <c r="C640" s="150"/>
      <c r="D640" s="151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</row>
    <row r="641" ht="15.75" customHeight="1">
      <c r="A641" s="149"/>
      <c r="B641" s="149"/>
      <c r="C641" s="150"/>
      <c r="D641" s="151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</row>
    <row r="642" ht="15.75" customHeight="1">
      <c r="A642" s="149"/>
      <c r="B642" s="149"/>
      <c r="C642" s="150"/>
      <c r="D642" s="151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</row>
    <row r="643" ht="15.75" customHeight="1">
      <c r="A643" s="149"/>
      <c r="B643" s="149"/>
      <c r="C643" s="150"/>
      <c r="D643" s="151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</row>
    <row r="644" ht="15.75" customHeight="1">
      <c r="A644" s="149"/>
      <c r="B644" s="149"/>
      <c r="C644" s="150"/>
      <c r="D644" s="151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</row>
    <row r="645" ht="15.75" customHeight="1">
      <c r="A645" s="149"/>
      <c r="B645" s="149"/>
      <c r="C645" s="150"/>
      <c r="D645" s="151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</row>
    <row r="646" ht="15.75" customHeight="1">
      <c r="A646" s="149"/>
      <c r="B646" s="149"/>
      <c r="C646" s="150"/>
      <c r="D646" s="151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</row>
    <row r="647" ht="15.75" customHeight="1">
      <c r="A647" s="149"/>
      <c r="B647" s="149"/>
      <c r="C647" s="150"/>
      <c r="D647" s="151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</row>
    <row r="648" ht="15.75" customHeight="1">
      <c r="A648" s="149"/>
      <c r="B648" s="149"/>
      <c r="C648" s="150"/>
      <c r="D648" s="151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</row>
    <row r="649" ht="15.75" customHeight="1">
      <c r="A649" s="149"/>
      <c r="B649" s="149"/>
      <c r="C649" s="150"/>
      <c r="D649" s="151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</row>
    <row r="650" ht="15.75" customHeight="1">
      <c r="A650" s="149"/>
      <c r="B650" s="149"/>
      <c r="C650" s="150"/>
      <c r="D650" s="151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</row>
    <row r="651" ht="15.75" customHeight="1">
      <c r="A651" s="149"/>
      <c r="B651" s="149"/>
      <c r="C651" s="150"/>
      <c r="D651" s="151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</row>
    <row r="652" ht="15.75" customHeight="1">
      <c r="A652" s="149"/>
      <c r="B652" s="149"/>
      <c r="C652" s="150"/>
      <c r="D652" s="151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</row>
    <row r="653" ht="15.75" customHeight="1">
      <c r="A653" s="149"/>
      <c r="B653" s="149"/>
      <c r="C653" s="150"/>
      <c r="D653" s="151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</row>
    <row r="654" ht="15.75" customHeight="1">
      <c r="A654" s="149"/>
      <c r="B654" s="149"/>
      <c r="C654" s="150"/>
      <c r="D654" s="151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</row>
    <row r="655" ht="15.75" customHeight="1">
      <c r="A655" s="149"/>
      <c r="B655" s="149"/>
      <c r="C655" s="150"/>
      <c r="D655" s="151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</row>
    <row r="656" ht="15.75" customHeight="1">
      <c r="A656" s="149"/>
      <c r="B656" s="149"/>
      <c r="C656" s="150"/>
      <c r="D656" s="151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</row>
    <row r="657" ht="15.75" customHeight="1">
      <c r="A657" s="149"/>
      <c r="B657" s="149"/>
      <c r="C657" s="150"/>
      <c r="D657" s="151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</row>
    <row r="658" ht="15.75" customHeight="1">
      <c r="A658" s="149"/>
      <c r="B658" s="149"/>
      <c r="C658" s="150"/>
      <c r="D658" s="151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</row>
    <row r="659" ht="15.75" customHeight="1">
      <c r="A659" s="149"/>
      <c r="B659" s="149"/>
      <c r="C659" s="150"/>
      <c r="D659" s="151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</row>
    <row r="660" ht="15.75" customHeight="1">
      <c r="A660" s="149"/>
      <c r="B660" s="149"/>
      <c r="C660" s="150"/>
      <c r="D660" s="151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</row>
    <row r="661" ht="15.75" customHeight="1">
      <c r="A661" s="149"/>
      <c r="B661" s="149"/>
      <c r="C661" s="150"/>
      <c r="D661" s="151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</row>
    <row r="662" ht="15.75" customHeight="1">
      <c r="A662" s="149"/>
      <c r="B662" s="149"/>
      <c r="C662" s="150"/>
      <c r="D662" s="151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</row>
    <row r="663" ht="15.75" customHeight="1">
      <c r="A663" s="149"/>
      <c r="B663" s="149"/>
      <c r="C663" s="150"/>
      <c r="D663" s="151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</row>
    <row r="664" ht="15.75" customHeight="1">
      <c r="A664" s="149"/>
      <c r="B664" s="149"/>
      <c r="C664" s="150"/>
      <c r="D664" s="151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</row>
    <row r="665" ht="15.75" customHeight="1">
      <c r="A665" s="149"/>
      <c r="B665" s="149"/>
      <c r="C665" s="150"/>
      <c r="D665" s="151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</row>
    <row r="666" ht="15.75" customHeight="1">
      <c r="A666" s="149"/>
      <c r="B666" s="149"/>
      <c r="C666" s="150"/>
      <c r="D666" s="151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</row>
    <row r="667" ht="15.75" customHeight="1">
      <c r="A667" s="149"/>
      <c r="B667" s="149"/>
      <c r="C667" s="150"/>
      <c r="D667" s="151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</row>
    <row r="668" ht="15.75" customHeight="1">
      <c r="A668" s="149"/>
      <c r="B668" s="149"/>
      <c r="C668" s="150"/>
      <c r="D668" s="151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</row>
    <row r="669" ht="15.75" customHeight="1">
      <c r="A669" s="149"/>
      <c r="B669" s="149"/>
      <c r="C669" s="150"/>
      <c r="D669" s="151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</row>
    <row r="670" ht="15.75" customHeight="1">
      <c r="A670" s="149"/>
      <c r="B670" s="149"/>
      <c r="C670" s="150"/>
      <c r="D670" s="151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</row>
    <row r="671" ht="15.75" customHeight="1">
      <c r="A671" s="149"/>
      <c r="B671" s="149"/>
      <c r="C671" s="150"/>
      <c r="D671" s="151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</row>
    <row r="672" ht="15.75" customHeight="1">
      <c r="A672" s="149"/>
      <c r="B672" s="149"/>
      <c r="C672" s="150"/>
      <c r="D672" s="151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</row>
    <row r="673" ht="15.75" customHeight="1">
      <c r="A673" s="149"/>
      <c r="B673" s="149"/>
      <c r="C673" s="150"/>
      <c r="D673" s="151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</row>
    <row r="674" ht="15.75" customHeight="1">
      <c r="A674" s="149"/>
      <c r="B674" s="149"/>
      <c r="C674" s="150"/>
      <c r="D674" s="151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</row>
    <row r="675" ht="15.75" customHeight="1">
      <c r="A675" s="149"/>
      <c r="B675" s="149"/>
      <c r="C675" s="150"/>
      <c r="D675" s="151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</row>
    <row r="676" ht="15.75" customHeight="1">
      <c r="A676" s="149"/>
      <c r="B676" s="149"/>
      <c r="C676" s="150"/>
      <c r="D676" s="151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</row>
    <row r="677" ht="15.75" customHeight="1">
      <c r="A677" s="149"/>
      <c r="B677" s="149"/>
      <c r="C677" s="150"/>
      <c r="D677" s="151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</row>
    <row r="678" ht="15.75" customHeight="1">
      <c r="A678" s="149"/>
      <c r="B678" s="149"/>
      <c r="C678" s="150"/>
      <c r="D678" s="151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</row>
    <row r="679" ht="15.75" customHeight="1">
      <c r="A679" s="149"/>
      <c r="B679" s="149"/>
      <c r="C679" s="150"/>
      <c r="D679" s="151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</row>
    <row r="680" ht="15.75" customHeight="1">
      <c r="A680" s="149"/>
      <c r="B680" s="149"/>
      <c r="C680" s="150"/>
      <c r="D680" s="151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</row>
    <row r="681" ht="15.75" customHeight="1">
      <c r="A681" s="149"/>
      <c r="B681" s="149"/>
      <c r="C681" s="150"/>
      <c r="D681" s="151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</row>
    <row r="682" ht="15.75" customHeight="1">
      <c r="A682" s="149"/>
      <c r="B682" s="149"/>
      <c r="C682" s="150"/>
      <c r="D682" s="151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</row>
    <row r="683" ht="15.75" customHeight="1">
      <c r="A683" s="149"/>
      <c r="B683" s="149"/>
      <c r="C683" s="150"/>
      <c r="D683" s="151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</row>
    <row r="684" ht="15.75" customHeight="1">
      <c r="A684" s="149"/>
      <c r="B684" s="149"/>
      <c r="C684" s="150"/>
      <c r="D684" s="15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</row>
    <row r="685" ht="15.75" customHeight="1">
      <c r="A685" s="149"/>
      <c r="B685" s="149"/>
      <c r="C685" s="150"/>
      <c r="D685" s="151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</row>
    <row r="686" ht="15.75" customHeight="1">
      <c r="A686" s="149"/>
      <c r="B686" s="149"/>
      <c r="C686" s="150"/>
      <c r="D686" s="151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</row>
    <row r="687" ht="15.75" customHeight="1">
      <c r="A687" s="149"/>
      <c r="B687" s="149"/>
      <c r="C687" s="150"/>
      <c r="D687" s="151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</row>
    <row r="688" ht="15.75" customHeight="1">
      <c r="A688" s="149"/>
      <c r="B688" s="149"/>
      <c r="C688" s="150"/>
      <c r="D688" s="151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</row>
    <row r="689" ht="15.75" customHeight="1">
      <c r="A689" s="149"/>
      <c r="B689" s="149"/>
      <c r="C689" s="150"/>
      <c r="D689" s="151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</row>
    <row r="690" ht="15.75" customHeight="1">
      <c r="A690" s="149"/>
      <c r="B690" s="149"/>
      <c r="C690" s="150"/>
      <c r="D690" s="151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</row>
    <row r="691" ht="15.75" customHeight="1">
      <c r="A691" s="149"/>
      <c r="B691" s="149"/>
      <c r="C691" s="150"/>
      <c r="D691" s="151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</row>
    <row r="692" ht="15.75" customHeight="1">
      <c r="A692" s="149"/>
      <c r="B692" s="149"/>
      <c r="C692" s="150"/>
      <c r="D692" s="151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</row>
    <row r="693" ht="15.75" customHeight="1">
      <c r="A693" s="149"/>
      <c r="B693" s="149"/>
      <c r="C693" s="150"/>
      <c r="D693" s="151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</row>
    <row r="694" ht="15.75" customHeight="1">
      <c r="A694" s="149"/>
      <c r="B694" s="149"/>
      <c r="C694" s="150"/>
      <c r="D694" s="151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</row>
    <row r="695" ht="15.75" customHeight="1">
      <c r="A695" s="149"/>
      <c r="B695" s="149"/>
      <c r="C695" s="150"/>
      <c r="D695" s="151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</row>
    <row r="696" ht="15.75" customHeight="1">
      <c r="A696" s="149"/>
      <c r="B696" s="149"/>
      <c r="C696" s="150"/>
      <c r="D696" s="151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</row>
    <row r="697" ht="15.75" customHeight="1">
      <c r="A697" s="149"/>
      <c r="B697" s="149"/>
      <c r="C697" s="150"/>
      <c r="D697" s="151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</row>
    <row r="698" ht="15.75" customHeight="1">
      <c r="A698" s="149"/>
      <c r="B698" s="149"/>
      <c r="C698" s="150"/>
      <c r="D698" s="151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</row>
    <row r="699" ht="15.75" customHeight="1">
      <c r="A699" s="149"/>
      <c r="B699" s="149"/>
      <c r="C699" s="150"/>
      <c r="D699" s="151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</row>
    <row r="700" ht="15.75" customHeight="1">
      <c r="A700" s="149"/>
      <c r="B700" s="149"/>
      <c r="C700" s="150"/>
      <c r="D700" s="151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</row>
    <row r="701" ht="15.75" customHeight="1">
      <c r="A701" s="149"/>
      <c r="B701" s="149"/>
      <c r="C701" s="150"/>
      <c r="D701" s="151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</row>
    <row r="702" ht="15.75" customHeight="1">
      <c r="A702" s="149"/>
      <c r="B702" s="149"/>
      <c r="C702" s="150"/>
      <c r="D702" s="151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</row>
    <row r="703" ht="15.75" customHeight="1">
      <c r="A703" s="149"/>
      <c r="B703" s="149"/>
      <c r="C703" s="150"/>
      <c r="D703" s="151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</row>
    <row r="704" ht="15.75" customHeight="1">
      <c r="A704" s="149"/>
      <c r="B704" s="149"/>
      <c r="C704" s="150"/>
      <c r="D704" s="151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</row>
    <row r="705" ht="15.75" customHeight="1">
      <c r="A705" s="149"/>
      <c r="B705" s="149"/>
      <c r="C705" s="150"/>
      <c r="D705" s="151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</row>
    <row r="706" ht="15.75" customHeight="1">
      <c r="A706" s="149"/>
      <c r="B706" s="149"/>
      <c r="C706" s="150"/>
      <c r="D706" s="151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</row>
    <row r="707" ht="15.75" customHeight="1">
      <c r="A707" s="149"/>
      <c r="B707" s="149"/>
      <c r="C707" s="150"/>
      <c r="D707" s="151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</row>
    <row r="708" ht="15.75" customHeight="1">
      <c r="A708" s="149"/>
      <c r="B708" s="149"/>
      <c r="C708" s="150"/>
      <c r="D708" s="151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</row>
    <row r="709" ht="15.75" customHeight="1">
      <c r="A709" s="149"/>
      <c r="B709" s="149"/>
      <c r="C709" s="150"/>
      <c r="D709" s="151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</row>
    <row r="710" ht="15.75" customHeight="1">
      <c r="A710" s="149"/>
      <c r="B710" s="149"/>
      <c r="C710" s="150"/>
      <c r="D710" s="151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</row>
    <row r="711" ht="15.75" customHeight="1">
      <c r="A711" s="149"/>
      <c r="B711" s="149"/>
      <c r="C711" s="150"/>
      <c r="D711" s="151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</row>
    <row r="712" ht="15.75" customHeight="1">
      <c r="A712" s="149"/>
      <c r="B712" s="149"/>
      <c r="C712" s="150"/>
      <c r="D712" s="151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</row>
    <row r="713" ht="15.75" customHeight="1">
      <c r="A713" s="149"/>
      <c r="B713" s="149"/>
      <c r="C713" s="150"/>
      <c r="D713" s="151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</row>
    <row r="714" ht="15.75" customHeight="1">
      <c r="A714" s="149"/>
      <c r="B714" s="149"/>
      <c r="C714" s="150"/>
      <c r="D714" s="151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</row>
    <row r="715" ht="15.75" customHeight="1">
      <c r="A715" s="149"/>
      <c r="B715" s="149"/>
      <c r="C715" s="150"/>
      <c r="D715" s="151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</row>
    <row r="716" ht="15.75" customHeight="1">
      <c r="A716" s="149"/>
      <c r="B716" s="149"/>
      <c r="C716" s="150"/>
      <c r="D716" s="151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</row>
    <row r="717" ht="15.75" customHeight="1">
      <c r="A717" s="149"/>
      <c r="B717" s="149"/>
      <c r="C717" s="150"/>
      <c r="D717" s="151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</row>
    <row r="718" ht="15.75" customHeight="1">
      <c r="A718" s="149"/>
      <c r="B718" s="149"/>
      <c r="C718" s="150"/>
      <c r="D718" s="151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</row>
    <row r="719" ht="15.75" customHeight="1">
      <c r="A719" s="149"/>
      <c r="B719" s="149"/>
      <c r="C719" s="150"/>
      <c r="D719" s="151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</row>
    <row r="720" ht="15.75" customHeight="1">
      <c r="A720" s="149"/>
      <c r="B720" s="149"/>
      <c r="C720" s="150"/>
      <c r="D720" s="151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</row>
    <row r="721" ht="15.75" customHeight="1">
      <c r="A721" s="149"/>
      <c r="B721" s="149"/>
      <c r="C721" s="150"/>
      <c r="D721" s="151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</row>
    <row r="722" ht="15.75" customHeight="1">
      <c r="A722" s="149"/>
      <c r="B722" s="149"/>
      <c r="C722" s="150"/>
      <c r="D722" s="151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</row>
    <row r="723" ht="15.75" customHeight="1">
      <c r="A723" s="149"/>
      <c r="B723" s="149"/>
      <c r="C723" s="150"/>
      <c r="D723" s="151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</row>
    <row r="724" ht="15.75" customHeight="1">
      <c r="A724" s="149"/>
      <c r="B724" s="149"/>
      <c r="C724" s="150"/>
      <c r="D724" s="151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</row>
    <row r="725" ht="15.75" customHeight="1">
      <c r="A725" s="149"/>
      <c r="B725" s="149"/>
      <c r="C725" s="150"/>
      <c r="D725" s="151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</row>
    <row r="726" ht="15.75" customHeight="1">
      <c r="A726" s="149"/>
      <c r="B726" s="149"/>
      <c r="C726" s="150"/>
      <c r="D726" s="151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</row>
    <row r="727" ht="15.75" customHeight="1">
      <c r="A727" s="149"/>
      <c r="B727" s="149"/>
      <c r="C727" s="150"/>
      <c r="D727" s="151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</row>
    <row r="728" ht="15.75" customHeight="1">
      <c r="A728" s="149"/>
      <c r="B728" s="149"/>
      <c r="C728" s="150"/>
      <c r="D728" s="151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</row>
    <row r="729" ht="15.75" customHeight="1">
      <c r="A729" s="149"/>
      <c r="B729" s="149"/>
      <c r="C729" s="150"/>
      <c r="D729" s="151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</row>
    <row r="730" ht="15.75" customHeight="1">
      <c r="A730" s="149"/>
      <c r="B730" s="149"/>
      <c r="C730" s="150"/>
      <c r="D730" s="151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</row>
    <row r="731" ht="15.75" customHeight="1">
      <c r="A731" s="149"/>
      <c r="B731" s="149"/>
      <c r="C731" s="150"/>
      <c r="D731" s="151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</row>
    <row r="732" ht="15.75" customHeight="1">
      <c r="A732" s="149"/>
      <c r="B732" s="149"/>
      <c r="C732" s="150"/>
      <c r="D732" s="151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</row>
    <row r="733" ht="15.75" customHeight="1">
      <c r="A733" s="149"/>
      <c r="B733" s="149"/>
      <c r="C733" s="150"/>
      <c r="D733" s="151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</row>
    <row r="734" ht="15.75" customHeight="1">
      <c r="A734" s="149"/>
      <c r="B734" s="149"/>
      <c r="C734" s="150"/>
      <c r="D734" s="151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</row>
    <row r="735" ht="15.75" customHeight="1">
      <c r="A735" s="149"/>
      <c r="B735" s="149"/>
      <c r="C735" s="150"/>
      <c r="D735" s="151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</row>
    <row r="736" ht="15.75" customHeight="1">
      <c r="A736" s="149"/>
      <c r="B736" s="149"/>
      <c r="C736" s="150"/>
      <c r="D736" s="151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</row>
    <row r="737" ht="15.75" customHeight="1">
      <c r="A737" s="149"/>
      <c r="B737" s="149"/>
      <c r="C737" s="150"/>
      <c r="D737" s="151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</row>
    <row r="738" ht="15.75" customHeight="1">
      <c r="A738" s="149"/>
      <c r="B738" s="149"/>
      <c r="C738" s="150"/>
      <c r="D738" s="151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</row>
    <row r="739" ht="15.75" customHeight="1">
      <c r="A739" s="149"/>
      <c r="B739" s="149"/>
      <c r="C739" s="150"/>
      <c r="D739" s="151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</row>
    <row r="740" ht="15.75" customHeight="1">
      <c r="A740" s="149"/>
      <c r="B740" s="149"/>
      <c r="C740" s="150"/>
      <c r="D740" s="151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</row>
    <row r="741" ht="15.75" customHeight="1">
      <c r="A741" s="149"/>
      <c r="B741" s="149"/>
      <c r="C741" s="150"/>
      <c r="D741" s="151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</row>
    <row r="742" ht="15.75" customHeight="1">
      <c r="A742" s="149"/>
      <c r="B742" s="149"/>
      <c r="C742" s="150"/>
      <c r="D742" s="151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</row>
    <row r="743" ht="15.75" customHeight="1">
      <c r="A743" s="149"/>
      <c r="B743" s="149"/>
      <c r="C743" s="150"/>
      <c r="D743" s="151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</row>
    <row r="744" ht="15.75" customHeight="1">
      <c r="A744" s="149"/>
      <c r="B744" s="149"/>
      <c r="C744" s="150"/>
      <c r="D744" s="151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</row>
    <row r="745" ht="15.75" customHeight="1">
      <c r="A745" s="149"/>
      <c r="B745" s="149"/>
      <c r="C745" s="150"/>
      <c r="D745" s="151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</row>
    <row r="746" ht="15.75" customHeight="1">
      <c r="A746" s="149"/>
      <c r="B746" s="149"/>
      <c r="C746" s="150"/>
      <c r="D746" s="151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</row>
    <row r="747" ht="15.75" customHeight="1">
      <c r="A747" s="149"/>
      <c r="B747" s="149"/>
      <c r="C747" s="150"/>
      <c r="D747" s="151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</row>
    <row r="748" ht="15.75" customHeight="1">
      <c r="A748" s="149"/>
      <c r="B748" s="149"/>
      <c r="C748" s="150"/>
      <c r="D748" s="151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</row>
    <row r="749" ht="15.75" customHeight="1">
      <c r="A749" s="149"/>
      <c r="B749" s="149"/>
      <c r="C749" s="150"/>
      <c r="D749" s="151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</row>
    <row r="750" ht="15.75" customHeight="1">
      <c r="A750" s="149"/>
      <c r="B750" s="149"/>
      <c r="C750" s="150"/>
      <c r="D750" s="151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</row>
    <row r="751" ht="15.75" customHeight="1">
      <c r="A751" s="149"/>
      <c r="B751" s="149"/>
      <c r="C751" s="150"/>
      <c r="D751" s="151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</row>
    <row r="752" ht="15.75" customHeight="1">
      <c r="A752" s="149"/>
      <c r="B752" s="149"/>
      <c r="C752" s="150"/>
      <c r="D752" s="151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</row>
    <row r="753" ht="15.75" customHeight="1">
      <c r="A753" s="149"/>
      <c r="B753" s="149"/>
      <c r="C753" s="150"/>
      <c r="D753" s="151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</row>
    <row r="754" ht="15.75" customHeight="1">
      <c r="A754" s="149"/>
      <c r="B754" s="149"/>
      <c r="C754" s="150"/>
      <c r="D754" s="151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</row>
    <row r="755" ht="15.75" customHeight="1">
      <c r="A755" s="149"/>
      <c r="B755" s="149"/>
      <c r="C755" s="150"/>
      <c r="D755" s="151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</row>
    <row r="756" ht="15.75" customHeight="1">
      <c r="A756" s="149"/>
      <c r="B756" s="149"/>
      <c r="C756" s="150"/>
      <c r="D756" s="151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</row>
    <row r="757" ht="15.75" customHeight="1">
      <c r="A757" s="149"/>
      <c r="B757" s="149"/>
      <c r="C757" s="150"/>
      <c r="D757" s="151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</row>
    <row r="758" ht="15.75" customHeight="1">
      <c r="A758" s="149"/>
      <c r="B758" s="149"/>
      <c r="C758" s="150"/>
      <c r="D758" s="151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</row>
    <row r="759" ht="15.75" customHeight="1">
      <c r="A759" s="149"/>
      <c r="B759" s="149"/>
      <c r="C759" s="150"/>
      <c r="D759" s="151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</row>
    <row r="760" ht="15.75" customHeight="1">
      <c r="A760" s="149"/>
      <c r="B760" s="149"/>
      <c r="C760" s="150"/>
      <c r="D760" s="151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</row>
    <row r="761" ht="15.75" customHeight="1">
      <c r="A761" s="153"/>
      <c r="B761" s="153"/>
      <c r="C761" s="154"/>
      <c r="D761" s="155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</row>
  </sheetData>
  <mergeCells count="8">
    <mergeCell ref="E1:H1"/>
    <mergeCell ref="I1:L1"/>
    <mergeCell ref="M1:P1"/>
    <mergeCell ref="Q1:T1"/>
    <mergeCell ref="E3:H3"/>
    <mergeCell ref="I3:L3"/>
    <mergeCell ref="M3:P3"/>
    <mergeCell ref="Q3:T3"/>
  </mergeCells>
  <hyperlinks>
    <hyperlink ref="C5" r:id="rId1" location="" tooltip="" display="Video"/>
    <hyperlink ref="C6" r:id="rId2" location="" tooltip="" display="video"/>
    <hyperlink ref="C7" r:id="rId3" location="" tooltip="" display="Video "/>
    <hyperlink ref="C13" r:id="rId4" location="" tooltip="" display="Video "/>
    <hyperlink ref="C15" r:id="rId5" location="" tooltip="" display="Video "/>
    <hyperlink ref="C26" r:id="rId6" location="" tooltip="" display="Video"/>
    <hyperlink ref="C27" r:id="rId7" location="" tooltip="" display="video"/>
    <hyperlink ref="C30" r:id="rId8" location="" tooltip="" display="Video "/>
    <hyperlink ref="C33" r:id="rId9" location="" tooltip="" display="Video "/>
  </hyperlink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